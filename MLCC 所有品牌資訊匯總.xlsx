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5724\OneDrive\桌面\Polytech 新產品資料\MLCC相關資料\"/>
    </mc:Choice>
  </mc:AlternateContent>
  <xr:revisionPtr revIDLastSave="0" documentId="13_ncr:1_{A2BE1556-58CB-4609-92F3-98CB6AA1B78B}" xr6:coauthVersionLast="47" xr6:coauthVersionMax="47" xr10:uidLastSave="{00000000-0000-0000-0000-000000000000}"/>
  <bookViews>
    <workbookView xWindow="-110" yWindow="-110" windowWidth="19420" windowHeight="10300" activeTab="3" xr2:uid="{95BB2B57-4217-460F-873D-6F6AA1F64F9A}"/>
  </bookViews>
  <sheets>
    <sheet name="工作表2" sheetId="12" r:id="rId1"/>
    <sheet name="3~5月推廣重點物料(電原)" sheetId="7" state="hidden" r:id="rId2"/>
    <sheet name="3~5月推廣重點物料(消費類)" sheetId="6" state="hidden" r:id="rId3"/>
    <sheet name="MLCC 所有品牌資訊匯總" sheetId="1" r:id="rId4"/>
    <sheet name="7月可擴賣物料規格" sheetId="11" r:id="rId5"/>
    <sheet name="尺寸" sheetId="4" r:id="rId6"/>
    <sheet name="工作表1" sheetId="8" r:id="rId7"/>
    <sheet name="材質" sheetId="3" r:id="rId8"/>
  </sheets>
  <externalReferences>
    <externalReference r:id="rId9"/>
  </externalReferences>
  <definedNames>
    <definedName name="_xlnm._FilterDatabase" localSheetId="2" hidden="1">'3~5月推廣重點物料(消費類)'!$A$1:$Q$1</definedName>
    <definedName name="_xlnm._FilterDatabase" localSheetId="1" hidden="1">'3~5月推廣重點物料(電原)'!$A$1:$Q$1</definedName>
    <definedName name="_xlnm._FilterDatabase" localSheetId="4" hidden="1">'7月可擴賣物料規格'!$A$1:$J$23</definedName>
    <definedName name="_xlnm._FilterDatabase" localSheetId="3" hidden="1">'MLCC 所有品牌資訊匯總'!$A$1:$R$429</definedName>
    <definedName name="_xlnm._FilterDatabase" localSheetId="0" hidden="1">工作表2!$B$1:$L$1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5" i="12" l="1"/>
  <c r="G334" i="12"/>
  <c r="G311" i="12"/>
  <c r="A311" i="12"/>
  <c r="G258" i="12"/>
  <c r="A258" i="12"/>
  <c r="G77" i="12"/>
  <c r="G16" i="12"/>
  <c r="J23" i="11"/>
  <c r="I23" i="11"/>
  <c r="H23" i="11"/>
  <c r="G23" i="11"/>
  <c r="F23" i="11"/>
  <c r="E23" i="11"/>
  <c r="D23" i="11"/>
  <c r="J22" i="11"/>
  <c r="I22" i="11"/>
  <c r="H22" i="11"/>
  <c r="G22" i="11"/>
  <c r="F22" i="11"/>
  <c r="E22" i="11"/>
  <c r="D22" i="11"/>
  <c r="J21" i="11"/>
  <c r="I21" i="11"/>
  <c r="H21" i="11"/>
  <c r="G21" i="11"/>
  <c r="F21" i="11"/>
  <c r="E21" i="11"/>
  <c r="D21" i="11"/>
  <c r="J20" i="11"/>
  <c r="I20" i="11"/>
  <c r="H20" i="11"/>
  <c r="G20" i="11"/>
  <c r="F20" i="11"/>
  <c r="E20" i="11"/>
  <c r="D20" i="11"/>
  <c r="J19" i="11"/>
  <c r="I19" i="11"/>
  <c r="H19" i="11"/>
  <c r="G19" i="11"/>
  <c r="F19" i="11"/>
  <c r="E19" i="11"/>
  <c r="D19" i="11"/>
  <c r="J18" i="11"/>
  <c r="I18" i="11"/>
  <c r="H18" i="11"/>
  <c r="G18" i="11"/>
  <c r="F18" i="11"/>
  <c r="E18" i="11"/>
  <c r="D18" i="11"/>
  <c r="J17" i="11"/>
  <c r="I17" i="11"/>
  <c r="H17" i="11"/>
  <c r="G17" i="11"/>
  <c r="F17" i="11"/>
  <c r="E17" i="11"/>
  <c r="D17" i="11"/>
  <c r="J16" i="11"/>
  <c r="I16" i="11"/>
  <c r="H16" i="11"/>
  <c r="G16" i="11"/>
  <c r="F16" i="11"/>
  <c r="E16" i="11"/>
  <c r="D16" i="11"/>
  <c r="J15" i="11"/>
  <c r="I15" i="11"/>
  <c r="H15" i="11"/>
  <c r="G15" i="11"/>
  <c r="F15" i="11"/>
  <c r="E15" i="11"/>
  <c r="D15" i="11"/>
  <c r="J14" i="11"/>
  <c r="I14" i="11"/>
  <c r="H14" i="11"/>
  <c r="G14" i="11"/>
  <c r="F14" i="11"/>
  <c r="E14" i="11"/>
  <c r="D14" i="11"/>
  <c r="J13" i="11"/>
  <c r="I13" i="11"/>
  <c r="H13" i="11"/>
  <c r="G13" i="11"/>
  <c r="F13" i="11"/>
  <c r="E13" i="11"/>
  <c r="D13" i="11"/>
  <c r="J12" i="11"/>
  <c r="I12" i="11"/>
  <c r="H12" i="11"/>
  <c r="G12" i="11"/>
  <c r="F12" i="11"/>
  <c r="E12" i="11"/>
  <c r="D12" i="11"/>
  <c r="J11" i="11"/>
  <c r="I11" i="11"/>
  <c r="H11" i="11"/>
  <c r="G11" i="11"/>
  <c r="F11" i="11"/>
  <c r="D11" i="11"/>
  <c r="J10" i="11"/>
  <c r="I10" i="11"/>
  <c r="H10" i="11"/>
  <c r="G10" i="11"/>
  <c r="F10" i="11"/>
  <c r="E10" i="11"/>
  <c r="D10" i="11"/>
  <c r="J9" i="11"/>
  <c r="I9" i="11"/>
  <c r="H9" i="11"/>
  <c r="G9" i="11"/>
  <c r="F9" i="11"/>
  <c r="E9" i="11"/>
  <c r="D9" i="11"/>
  <c r="J8" i="11"/>
  <c r="I8" i="11"/>
  <c r="H8" i="11"/>
  <c r="G8" i="11"/>
  <c r="F8" i="11"/>
  <c r="E8" i="11"/>
  <c r="D8" i="11"/>
  <c r="J7" i="11"/>
  <c r="I7" i="11"/>
  <c r="H7" i="11"/>
  <c r="G7" i="11"/>
  <c r="F7" i="11"/>
  <c r="E7" i="11"/>
  <c r="D7" i="11"/>
  <c r="J6" i="11"/>
  <c r="I6" i="11"/>
  <c r="H6" i="11"/>
  <c r="G6" i="11"/>
  <c r="F6" i="11"/>
  <c r="E6" i="11"/>
  <c r="D6" i="11"/>
  <c r="J5" i="11"/>
  <c r="I5" i="11"/>
  <c r="H5" i="11"/>
  <c r="G5" i="11"/>
  <c r="F5" i="11"/>
  <c r="E5" i="11"/>
  <c r="D5" i="11"/>
  <c r="J4" i="11"/>
  <c r="I4" i="11"/>
  <c r="H4" i="11"/>
  <c r="G4" i="11"/>
  <c r="F4" i="11"/>
  <c r="E4" i="11"/>
  <c r="D4" i="11"/>
  <c r="J3" i="11"/>
  <c r="I3" i="11"/>
  <c r="H3" i="11"/>
  <c r="G3" i="11"/>
  <c r="F3" i="11"/>
  <c r="E3" i="11"/>
  <c r="D3" i="11"/>
  <c r="J2" i="11"/>
  <c r="I2" i="11"/>
  <c r="H2" i="11"/>
  <c r="G2" i="11"/>
  <c r="F2" i="11"/>
  <c r="E2" i="11"/>
  <c r="D2" i="11"/>
  <c r="E263" i="1"/>
  <c r="K18" i="1"/>
  <c r="K263" i="1"/>
  <c r="K340" i="1"/>
  <c r="K78" i="1"/>
  <c r="K339" i="1"/>
  <c r="K3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tc={AF9D09E8-227B-465A-9B8B-510F71F48D93}</author>
    <author>tc={26422542-993B-41E8-B485-6DDACE2D6460}</author>
    <author>tc={51866A5D-5769-49DC-877D-72ACE71B6E1C}</author>
    <author>tc={8C2A9184-4CE8-47E4-BEC0-C22E86A98F44}</author>
    <author>tc={51957284-25B6-4E77-990B-09DB3AD5228E}</author>
    <author>tc={244EE3C3-284B-4EC2-92D0-E84107940477}</author>
    <author>tc={C249D81D-E3F9-4150-8C14-A39B32781E27}</author>
    <author>tc={7823C288-4283-40F2-BFCA-7196F90840EC}</author>
    <author>tc={B831949B-1902-4E5C-B9F6-4D96BC63F906}</author>
    <author>tc={1CA1EE58-1027-43D6-9CDE-70958A3328BB}</author>
    <author>tc={F84EA75D-C8D9-409A-8253-164D0C38733A}</author>
    <author>tc={9D75D3D5-B5EA-4F68-BF4C-457C23C7411A}</author>
    <author>tc={7BEF8C81-54B0-4A3D-A390-D360B6B2B118}</author>
    <author>tc={5A4B1E3F-4B8D-4958-A8E5-B473E7E421FB}</author>
    <author>tc={F846007C-F68A-424D-A763-A255855E2FD9}</author>
    <author>tc={4392AD40-570C-44F1-A9CE-F44A594839B7}</author>
    <author>tc={3803D410-90BB-4979-AA0F-9993134E48FD}</author>
    <author>tc={103993D9-0AE3-48F0-9BDE-76D6161E7331}</author>
    <author>tc={4DF95051-076C-437D-A02B-F513E765EC83}</author>
    <author>tc={02570814-A928-400B-932A-7C70E233DD7B}</author>
    <author>tc={0E8C571C-336C-4F69-B527-A982582D55ED}</author>
    <author>tc={DEDAEC96-959C-4EF6-B298-1A0680870DFB}</author>
    <author>tc={38713EE8-7294-447F-A92D-C5FC498CD62A}</author>
    <author>tc={59A0AAF4-5474-4526-87CB-500A3A2254D7}</author>
    <author>tc={0B20D5AA-CFDE-40F2-9065-0B3CE7EC4A29}</author>
    <author>tc={5626FE85-79A6-40F4-A5AA-1B6C6EA6777A}</author>
    <author>tc={ACB57188-1635-427D-ACE0-F7A95E297E29}</author>
    <author>tc={2DDBFD53-A364-4130-8952-EAD8A3500D9B}</author>
    <author>tc={A1494A4B-0976-406C-90A2-34E09797FDD6}</author>
    <author>tc={E5E33DB3-4482-49EC-BD4B-4CFB272939F9}</author>
    <author>tc={BD1630BE-56D2-462B-A5C5-F4B72A76F7CF}</author>
    <author>tc={8FBEA31C-484A-494F-BFA7-A6EDDA09DD22}</author>
    <author>tc={BF133945-EF51-468F-933C-E665679FCD66}</author>
    <author>tc={BB7B467D-549C-4F0E-BC7A-46418B872C4C}</author>
    <author>tc={CE27CA53-5205-4388-9339-0815CF3CC431}</author>
    <author>tc={85DA2147-2C6E-4D75-80FA-4071337E6269}</author>
    <author>tc={8BBCD6B6-34BE-4EA9-BDAF-C1E2860A96B5}</author>
    <author>tc={1C567C9C-374E-4714-8861-F0DDB67B68A3}</author>
    <author>tc={95E02C7E-2F04-4F9C-B863-D9627E3B0603}</author>
    <author>tc={84572A6C-2146-4DD8-9E68-4DB599726FAA}</author>
    <author>tc={6613A427-9E6B-40FC-9300-CC81442E2F30}</author>
    <author>tc={FD0B8CFE-2CF6-4360-9F4C-B78A0E82BD29}</author>
    <author>tc={4DC96AFA-311A-4340-A5B2-B6D0A53DB139}</author>
    <author>tc={C5E6ECD6-577B-49F1-ACBA-54083C3FE379}</author>
    <author>tc={323B450A-8AA2-465F-837A-9BF60AB2DC3B}</author>
    <author>tc={98230D98-16EB-4911-AF96-4E7B683F4A74}</author>
    <author>tc={811909C2-C1D2-4CEE-91D5-197DF8EB144D}</author>
    <author>tc={F4221E11-240D-4BD7-852C-0D0E95F1DF0B}</author>
    <author>tc={7A837F53-F571-43C4-8B28-CFDCFC1716AF}</author>
    <author>tc={FCD8E5D0-9839-4FC7-AE7C-401344B6B257}</author>
    <author>tc={0944518A-519E-4262-B394-1EB9C0BCC279}</author>
    <author>tc={B4586D53-393C-4038-B42E-27055CB1064D}</author>
    <author>tc={3189882D-290C-4671-9167-D668BC955DEB}</author>
    <author>tc={72F42571-C6FB-498E-B0D0-094CE6F3C1FD}</author>
    <author>tc={6441210B-2FEB-47F7-B341-40707D43DF0E}</author>
    <author>tc={9F69CD62-AB9F-4EEC-BABC-FBD76C686F10}</author>
    <author>tc={F5154C07-C1AD-43DD-8D61-A1E90AD823B7}</author>
    <author>tc={0D2D9584-4568-43C5-A765-E356766C96C6}</author>
    <author>tc={8A972A85-9925-4B99-82C3-EF2399945F7E}</author>
    <author>tc={6133FE69-1EE1-4FB5-8C60-426B511D9588}</author>
    <author>tc={A431150C-AB65-4AAE-B454-EEF5111A792E}</author>
    <author>tc={3CB174A6-71E2-4C1D-8253-7BE01E2F1A75}</author>
    <author>tc={4472EAB3-85E4-47FF-9657-BEA83EBEB35C}</author>
    <author>tc={807DE3EE-52B8-4C38-8099-4547163406F5}</author>
    <author>tc={01624C70-5166-4F7D-821D-8346DF2A1845}</author>
    <author>tc={081413CE-9A24-41DF-9AD8-0F11EFE2A0FD}</author>
    <author>tc={D7D50198-F135-479B-A20D-9A9DCE9917B4}</author>
    <author>tc={B7858D13-4792-465D-8FD9-789F0F49132D}</author>
  </authors>
  <commentList>
    <comment ref="C11" authorId="0" shapeId="0" xr:uid="{AF9D09E8-227B-465A-9B8B-510F71F48D93}">
      <text>
        <t>[對話串註解]
您的 Excel 版本可讓您讀取此對話串註解; 但若以較新的 Excel 版本開啟此檔案，將會移除對它進行的所有編輯。深入了解: https://go.microsoft.com/fwlink/?linkid=870924。
註解:
    Derating1。 Measure capacitance after heat treatment。 Only for mobile devices</t>
      </text>
    </comment>
    <comment ref="C176" authorId="1" shapeId="0" xr:uid="{26422542-993B-41E8-B485-6DDACE2D6460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77" authorId="2" shapeId="0" xr:uid="{51866A5D-5769-49DC-877D-72ACE71B6E1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79" authorId="3" shapeId="0" xr:uid="{8C2A9184-4CE8-47E4-BEC0-C22E86A98F4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0" authorId="4" shapeId="0" xr:uid="{51957284-25B6-4E77-990B-09DB3AD5228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3" authorId="5" shapeId="0" xr:uid="{244EE3C3-284B-4EC2-92D0-E8410794047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4" authorId="6" shapeId="0" xr:uid="{C249D81D-E3F9-4150-8C14-A39B32781E2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27" authorId="7" shapeId="0" xr:uid="{7823C288-4283-40F2-BFCA-7196F90840E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34" authorId="8" shapeId="0" xr:uid="{B831949B-1902-4E5C-B9F6-4D96BC63F90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42" authorId="9" shapeId="0" xr:uid="{1CA1EE58-1027-43D6-9CDE-70958A3328B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72" authorId="10" shapeId="0" xr:uid="{F84EA75D-C8D9-409A-8253-164D0C38733A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88" authorId="11" shapeId="0" xr:uid="{9D75D3D5-B5EA-4F68-BF4C-457C23C7411A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96" authorId="12" shapeId="0" xr:uid="{7BEF8C81-54B0-4A3D-A390-D360B6B2B118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98" authorId="13" shapeId="0" xr:uid="{5A4B1E3F-4B8D-4958-A8E5-B473E7E421FB}">
      <text>
        <t>[對話串註解]
您的 Excel 版本可讓您讀取此對話串註解; 但若以較新的 Excel 版本開啟此檔案，將會移除對它進行的所有編輯。深入了解: https://go.microsoft.com/fwlink/?linkid=870924。
註解:
    計畫停產</t>
      </text>
    </comment>
    <comment ref="C299" authorId="14" shapeId="0" xr:uid="{F846007C-F68A-424D-A763-A255855E2FD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0" authorId="15" shapeId="0" xr:uid="{4392AD40-570C-44F1-A9CE-F44A594839B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2" authorId="16" shapeId="0" xr:uid="{3803D410-90BB-4979-AA0F-9993134E48F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4" authorId="17" shapeId="0" xr:uid="{103993D9-0AE3-48F0-9BDE-76D6161E7331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6" authorId="18" shapeId="0" xr:uid="{4DF95051-076C-437D-A02B-F513E765EC83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7" authorId="19" shapeId="0" xr:uid="{02570814-A928-400B-932A-7C70E233DD7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41" authorId="20" shapeId="0" xr:uid="{0E8C571C-336C-4F69-B527-A982582D55E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42" authorId="21" shapeId="0" xr:uid="{DEDAEC96-959C-4EF6-B298-1A0680870DF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59" authorId="22" shapeId="0" xr:uid="{38713EE8-7294-447F-A92D-C5FC498CD62A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0" authorId="23" shapeId="0" xr:uid="{59A0AAF4-5474-4526-87CB-500A3A2254D7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1" authorId="24" shapeId="0" xr:uid="{0B20D5AA-CFDE-40F2-9065-0B3CE7EC4A29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2" authorId="25" shapeId="0" xr:uid="{5626FE85-79A6-40F4-A5AA-1B6C6EA6777A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3" authorId="26" shapeId="0" xr:uid="{ACB57188-1635-427D-ACE0-F7A95E297E29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4" authorId="27" shapeId="0" xr:uid="{2DDBFD53-A364-4130-8952-EAD8A3500D9B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5" authorId="28" shapeId="0" xr:uid="{A1494A4B-0976-406C-90A2-34E09797FDD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66" authorId="29" shapeId="0" xr:uid="{E5E33DB3-4482-49EC-BD4B-4CFB272939F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67" authorId="30" shapeId="0" xr:uid="{BD1630BE-56D2-462B-A5C5-F4B72A76F7CF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68" authorId="31" shapeId="0" xr:uid="{8FBEA31C-484A-494F-BFA7-A6EDDA09DD22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69" authorId="32" shapeId="0" xr:uid="{BF133945-EF51-468F-933C-E665679FCD6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0" authorId="33" shapeId="0" xr:uid="{BB7B467D-549C-4F0E-BC7A-46418B872C4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2" authorId="34" shapeId="0" xr:uid="{CE27CA53-5205-4388-9339-0815CF3CC431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5" authorId="35" shapeId="0" xr:uid="{85DA2147-2C6E-4D75-80FA-4071337E626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9" authorId="36" shapeId="0" xr:uid="{8BBCD6B6-34BE-4EA9-BDAF-C1E2860A96B5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0" authorId="37" shapeId="0" xr:uid="{1C567C9C-374E-4714-8861-F0DDB67B68A3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1" authorId="38" shapeId="0" xr:uid="{95E02C7E-2F04-4F9C-B863-D9627E3B0603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2" authorId="39" shapeId="0" xr:uid="{84572A6C-2146-4DD8-9E68-4DB599726FAA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3" authorId="40" shapeId="0" xr:uid="{6613A427-9E6B-40FC-9300-CC81442E2F30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4" authorId="41" shapeId="0" xr:uid="{FD0B8CFE-2CF6-4360-9F4C-B78A0E82BD2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86" authorId="42" shapeId="0" xr:uid="{4DC96AFA-311A-4340-A5B2-B6D0A53DB13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87" authorId="43" shapeId="0" xr:uid="{C5E6ECD6-577B-49F1-ACBA-54083C3FE37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88" authorId="44" shapeId="0" xr:uid="{323B450A-8AA2-465F-837A-9BF60AB2DC3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2" authorId="45" shapeId="0" xr:uid="{98230D98-16EB-4911-AF96-4E7B683F4A7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3" authorId="46" shapeId="0" xr:uid="{811909C2-C1D2-4CEE-91D5-197DF8EB144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4" authorId="47" shapeId="0" xr:uid="{F4221E11-240D-4BD7-852C-0D0E95F1DF0B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95" authorId="48" shapeId="0" xr:uid="{7A837F53-F571-43C4-8B28-CFDCFC1716AF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96" authorId="49" shapeId="0" xr:uid="{FCD8E5D0-9839-4FC7-AE7C-401344B6B25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7" authorId="50" shapeId="0" xr:uid="{0944518A-519E-4262-B394-1EB9C0BCC27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8" authorId="51" shapeId="0" xr:uid="{B4586D53-393C-4038-B42E-27055CB1064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3" authorId="52" shapeId="0" xr:uid="{3189882D-290C-4671-9167-D668BC955DEB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04" authorId="53" shapeId="0" xr:uid="{72F42571-C6FB-498E-B0D0-094CE6F3C1FD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06" authorId="54" shapeId="0" xr:uid="{6441210B-2FEB-47F7-B341-40707D43DF0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7" authorId="55" shapeId="0" xr:uid="{9F69CD62-AB9F-4EEC-BABC-FBD76C686F10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9" authorId="56" shapeId="0" xr:uid="{F5154C07-C1AD-43DD-8D61-A1E90AD823B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0" authorId="57" shapeId="0" xr:uid="{0D2D9584-4568-43C5-A765-E356766C96C6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13" authorId="58" shapeId="0" xr:uid="{8A972A85-9925-4B99-82C3-EF2399945F7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4" authorId="59" shapeId="0" xr:uid="{6133FE69-1EE1-4FB5-8C60-426B511D9588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5" authorId="60" shapeId="0" xr:uid="{A431150C-AB65-4AAE-B454-EEF5111A792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7" authorId="61" shapeId="0" xr:uid="{3CB174A6-71E2-4C1D-8253-7BE01E2F1A75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18" authorId="62" shapeId="0" xr:uid="{4472EAB3-85E4-47FF-9657-BEA83EBEB35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9" authorId="63" shapeId="0" xr:uid="{807DE3EE-52B8-4C38-8099-4547163406F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0" authorId="64" shapeId="0" xr:uid="{01624C70-5166-4F7D-821D-8346DF2A184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1" authorId="65" shapeId="0" xr:uid="{081413CE-9A24-41DF-9AD8-0F11EFE2A0F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3" authorId="66" shapeId="0" xr:uid="{D7D50198-F135-479B-A20D-9A9DCE9917B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4" authorId="67" shapeId="0" xr:uid="{B7858D13-4792-465D-8FD9-789F0F49132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tc={41B3A206-790D-4236-B626-5FB1D4E90CA7}</author>
  </authors>
  <commentList>
    <comment ref="C20" authorId="0" shapeId="0" xr:uid="{41B3A206-790D-4236-B626-5FB1D4E90CA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tc={2BBC1FF4-F8AE-470E-8555-FA33F4280039}</author>
    <author>tc={B90241BF-B398-40DD-8D26-DFEF4A4A365A}</author>
  </authors>
  <commentList>
    <comment ref="C8" authorId="0" shapeId="0" xr:uid="{2BBC1FF4-F8AE-470E-8555-FA33F4280039}">
      <text>
        <t>[對話串註解]
您的 Excel 版本可讓您讀取此對話串註解; 但若以較新的 Excel 版本開啟此檔案，將會移除對它進行的所有編輯。深入了解: https://go.microsoft.com/fwlink/?linkid=870924。
註解:
    Derating1。 Measure capacitance after heat treatment。 Only for mobile devices</t>
      </text>
    </comment>
    <comment ref="D10" authorId="1" shapeId="0" xr:uid="{B90241BF-B398-40DD-8D26-DFEF4A4A365A}">
      <text>
        <t>[對話串註解]
您的 Excel 版本可讓您讀取此對話串註解; 但若以較新的 Excel 版本開啟此檔案，將會移除對它進行的所有編輯。深入了解: https://go.microsoft.com/fwlink/?linkid=870924。
註解:
    0.39T or 0.35T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tc={21FE1266-70B5-4B09-AA83-9EB1FFB1B81C}</author>
    <author>tc={6981E0D1-2D2D-4D6F-95E2-3AED052EE4C9}</author>
    <author>tc={68A77457-6A86-4214-8A28-22A8D4042982}</author>
    <author>tc={E3EE2822-907F-43E9-975A-90F62E4D6A5F}</author>
    <author>tc={CD861409-B0FE-4308-A04D-BF5F03026410}</author>
    <author>tc={75A68BA3-2236-4FAE-B7B5-AC7AEABB29C2}</author>
    <author>tc={AE6D46D5-86DC-45DD-8119-A6378464983E}</author>
    <author>tc={20377F8F-5E02-48CE-ABD7-F87292300BB0}</author>
    <author>tc={828CC035-1DB4-4DF0-9E2A-1AED9CCF2992}</author>
    <author>tc={54625828-F602-4C75-B94C-645DC061BD89}</author>
    <author>tc={5E73A32D-B4AE-4897-A449-F9C8910F44F9}</author>
    <author>tc={A4488398-00DF-4A28-8C0E-FA7DDBEDFCDC}</author>
    <author>tc={F9659F2F-315D-4D10-85E0-B63AF8C48865}</author>
    <author>tc={D2CF1320-677C-4AC4-AB69-4FB0383C5C06}</author>
    <author>tc={8AD32D01-36A4-480E-9B82-96FB85A6BC3B}</author>
    <author>tc={555BE67A-B05D-41CE-8DB2-65B80209913A}</author>
    <author>tc={52C95FF2-98B9-4778-8A49-B6A12F2C73DC}</author>
    <author>tc={B86EF8AE-3CAE-4C4C-BA1E-365B90C0C1AA}</author>
    <author>tc={417CC915-31DE-4156-95AC-B9025A58C7B9}</author>
    <author>tc={AF84386D-CDBC-494B-911D-FE98F38C57EC}</author>
    <author>tc={F172A9AB-E196-4BCC-8864-DFE95DD97341}</author>
    <author>tc={C6DC09FE-2EA6-43A1-9863-AAFA9B015604}</author>
    <author>tc={5AA4E34C-057E-4C99-93B1-327A46278F57}</author>
    <author>tc={BE8D6094-1E92-4690-8BC5-60D232C823FD}</author>
    <author>tc={E3780E46-A5A5-4AB0-A07E-4797780E0835}</author>
    <author>tc={5C4E6D67-C9A8-4B36-8EAF-41715CE9DC82}</author>
    <author>tc={383ACEE1-F36A-4E12-9E20-B629486637F9}</author>
    <author>tc={635A2839-8F66-4748-A4F0-DAB805D1AC0C}</author>
    <author>tc={B3E3531F-3EB5-40CB-A7EB-24613113E37C}</author>
    <author>tc={4C0FAD3D-A4FA-40A4-B47E-64BC06BDEEC6}</author>
    <author>tc={A8F05B26-9C60-4D08-AF8F-369B194C9715}</author>
    <author>tc={E80B5536-15A9-4EB3-B2AC-E8F9F908BD3D}</author>
    <author>tc={AAB6F6E0-111D-4F4A-B4EC-C46CE0F43D6E}</author>
    <author>tc={16BAD8D2-6BD2-451D-BA9E-E35F16C179BB}</author>
    <author>tc={666A203A-332A-443B-9BC9-F9F567ED15B8}</author>
    <author>tc={865E2DCD-0377-4D58-B11E-673D726544A0}</author>
    <author>tc={A34556BE-5E4F-4AD9-99B9-BFA2F542AD13}</author>
    <author>tc={6F28E4FB-37CB-4A87-A8A4-8529ADE1DD5E}</author>
    <author>tc={8AC3BFDB-4D15-4198-9130-6FB45B248C20}</author>
    <author>tc={7DB9F828-4D17-4199-BD74-0DCD960DCDA1}</author>
    <author>tc={7AC7EABD-699E-4339-B85D-DCF51DA5D4D6}</author>
    <author>tc={5D0FDE62-7E6A-4F7C-87CB-A11080EDB1EE}</author>
    <author>tc={027DF3FB-A2BC-479E-A87F-8CAB5C33D263}</author>
    <author>tc={7B9C6307-1219-41BA-88AF-8E996F63AD13}</author>
    <author>tc={7119CC8B-662F-4634-8261-54ABAD3AE4CB}</author>
    <author>tc={CCF284BA-5D81-49C3-B95C-680EC1A664E5}</author>
    <author>tc={05F42B19-F163-4A12-93B3-EA1C910C2EAD}</author>
    <author>tc={0F7ED692-324C-423F-A548-B58E4324E1E5}</author>
    <author>tc={359F601B-8DCB-4304-BB72-22F4C9A6CF27}</author>
    <author>tc={3CDCEBB7-EF2E-4A6E-BF40-582717E2C33F}</author>
    <author>tc={5DAF534D-9B43-4038-9601-D99A9ED1A30D}</author>
    <author>tc={45C8ACC7-FF93-4666-A751-A2C021042D0B}</author>
    <author>tc={B1C4A147-9E4A-4661-A125-4FA3AE357932}</author>
    <author>tc={24AFD2C2-6917-4AFE-9001-B566809577A6}</author>
    <author>tc={7BCA3E2E-EA3B-4905-BDB5-0C5C8091AA35}</author>
    <author>tc={52C96D93-3EB1-4A2B-AFCD-A024B48D5380}</author>
    <author>tc={0E2F51D2-0043-4A40-8621-339FFBF3DA29}</author>
    <author>tc={5265F555-52A3-4068-8FD9-9EC75C9FCE6A}</author>
    <author>tc={2A9B35EB-74CA-4D73-9552-8E714B0DF5D6}</author>
    <author>tc={A9394D96-F5B7-450B-B5ED-93272D3FB723}</author>
    <author>tc={3C89EE80-3161-4FF4-BEBD-E7375B53B4E9}</author>
    <author>tc={4B008EB0-962E-49D9-97EE-9CDBB2CD614A}</author>
    <author>tc={3DA9D3CB-4641-46F8-A9FD-5B5F29790613}</author>
    <author>tc={24E0BFC7-0B2A-4058-B74C-48565977181C}</author>
    <author>tc={48F6496F-5367-4F22-AAD5-ABDA8A7551A3}</author>
    <author>tc={CECAEAEB-FCB1-46DC-9EA9-3E3A6AFA68D4}</author>
    <author>tc={647BF09F-E345-48F2-9FB6-4AAC4A1DDD1B}</author>
    <author>tc={1E6F725F-A445-4BB9-98B9-75B77B841DD7}</author>
    <author>tc={F7E22E12-4C02-4B14-A7E6-0B4D7C5BD5F4}</author>
    <author>tc={FE452365-A9D1-415E-8DBB-D1C49C092966}</author>
  </authors>
  <commentList>
    <comment ref="C13" authorId="0" shapeId="0" xr:uid="{21FE1266-70B5-4B09-AA83-9EB1FFB1B81C}">
      <text>
        <t>[對話串註解]
您的 Excel 版本可讓您讀取此對話串註解; 但若以較新的 Excel 版本開啟此檔案，將會移除對它進行的所有編輯。深入了解: https://go.microsoft.com/fwlink/?linkid=870924。
註解:
    Derating1。 Measure capacitance after heat treatment。 Only for mobile devices</t>
      </text>
    </comment>
    <comment ref="D42" authorId="1" shapeId="0" xr:uid="{6981E0D1-2D2D-4D6F-95E2-3AED052EE4C9}">
      <text>
        <t>[對話串註解]
您的 Excel 版本可讓您讀取此對話串註解; 但若以較新的 Excel 版本開啟此檔案，將會移除對它進行的所有編輯。深入了解: https://go.microsoft.com/fwlink/?linkid=870924。
註解:
    0.39T or 0.35T</t>
      </text>
    </comment>
    <comment ref="D43" authorId="2" shapeId="0" xr:uid="{68A77457-6A86-4214-8A28-22A8D4042982}">
      <text>
        <t>[對話串註解]
您的 Excel 版本可讓您讀取此對話串註解; 但若以較新的 Excel 版本開啟此檔案，將會移除對它進行的所有編輯。深入了解: https://go.microsoft.com/fwlink/?linkid=870924。
註解:
    0.39T or 0.35T</t>
      </text>
    </comment>
    <comment ref="C181" authorId="3" shapeId="0" xr:uid="{E3EE2822-907F-43E9-975A-90F62E4D6A5F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2" authorId="4" shapeId="0" xr:uid="{CD861409-B0FE-4308-A04D-BF5F03026410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4" authorId="5" shapeId="0" xr:uid="{75A68BA3-2236-4FAE-B7B5-AC7AEABB29C2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5" authorId="6" shapeId="0" xr:uid="{AE6D46D5-86DC-45DD-8119-A6378464983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8" authorId="7" shapeId="0" xr:uid="{20377F8F-5E02-48CE-ABD7-F87292300BB0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189" authorId="8" shapeId="0" xr:uid="{828CC035-1DB4-4DF0-9E2A-1AED9CCF2992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32" authorId="9" shapeId="0" xr:uid="{54625828-F602-4C75-B94C-645DC061BD8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39" authorId="10" shapeId="0" xr:uid="{5E73A32D-B4AE-4897-A449-F9C8910F44F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47" authorId="11" shapeId="0" xr:uid="{A4488398-00DF-4A28-8C0E-FA7DDBEDFCD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77" authorId="12" shapeId="0" xr:uid="{F9659F2F-315D-4D10-85E0-B63AF8C4886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293" authorId="13" shapeId="0" xr:uid="{D2CF1320-677C-4AC4-AB69-4FB0383C5C0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01" authorId="14" shapeId="0" xr:uid="{8AD32D01-36A4-480E-9B82-96FB85A6BC3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03" authorId="15" shapeId="0" xr:uid="{555BE67A-B05D-41CE-8DB2-65B80209913A}">
      <text>
        <t>[對話串註解]
您的 Excel 版本可讓您讀取此對話串註解; 但若以較新的 Excel 版本開啟此檔案，將會移除對它進行的所有編輯。深入了解: https://go.microsoft.com/fwlink/?linkid=870924。
註解:
    計畫停產</t>
      </text>
    </comment>
    <comment ref="C304" authorId="16" shapeId="0" xr:uid="{52C95FF2-98B9-4778-8A49-B6A12F2C73D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5" authorId="17" shapeId="0" xr:uid="{B86EF8AE-3CAE-4C4C-BA1E-365B90C0C1AA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7" authorId="18" shapeId="0" xr:uid="{417CC915-31DE-4156-95AC-B9025A58C7B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29" authorId="19" shapeId="0" xr:uid="{AF84386D-CDBC-494B-911D-FE98F38C57EC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31" authorId="20" shapeId="0" xr:uid="{F172A9AB-E196-4BCC-8864-DFE95DD97341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32" authorId="21" shapeId="0" xr:uid="{C6DC09FE-2EA6-43A1-9863-AAFA9B01560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46" authorId="22" shapeId="0" xr:uid="{5AA4E34C-057E-4C99-93B1-327A46278F5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47" authorId="23" shapeId="0" xr:uid="{BE8D6094-1E92-4690-8BC5-60D232C823F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64" authorId="24" shapeId="0" xr:uid="{E3780E46-A5A5-4AB0-A07E-4797780E0835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5" authorId="25" shapeId="0" xr:uid="{5C4E6D67-C9A8-4B36-8EAF-41715CE9DC82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6" authorId="26" shapeId="0" xr:uid="{383ACEE1-F36A-4E12-9E20-B629486637F9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7" authorId="27" shapeId="0" xr:uid="{635A2839-8F66-4748-A4F0-DAB805D1AC0C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8" authorId="28" shapeId="0" xr:uid="{B3E3531F-3EB5-40CB-A7EB-24613113E37C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69" authorId="29" shapeId="0" xr:uid="{4C0FAD3D-A4FA-40A4-B47E-64BC06BDEEC6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70" authorId="30" shapeId="0" xr:uid="{A8F05B26-9C60-4D08-AF8F-369B194C971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1" authorId="31" shapeId="0" xr:uid="{E80B5536-15A9-4EB3-B2AC-E8F9F908BD3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2" authorId="32" shapeId="0" xr:uid="{AAB6F6E0-111D-4F4A-B4EC-C46CE0F43D6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3" authorId="33" shapeId="0" xr:uid="{16BAD8D2-6BD2-451D-BA9E-E35F16C179B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4" authorId="34" shapeId="0" xr:uid="{666A203A-332A-443B-9BC9-F9F567ED15B8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5" authorId="35" shapeId="0" xr:uid="{865E2DCD-0377-4D58-B11E-673D726544A0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77" authorId="36" shapeId="0" xr:uid="{A34556BE-5E4F-4AD9-99B9-BFA2F542AD13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80" authorId="37" shapeId="0" xr:uid="{6F28E4FB-37CB-4A87-A8A4-8529ADE1DD5E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84" authorId="38" shapeId="0" xr:uid="{8AC3BFDB-4D15-4198-9130-6FB45B248C20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5" authorId="39" shapeId="0" xr:uid="{7DB9F828-4D17-4199-BD74-0DCD960DCDA1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6" authorId="40" shapeId="0" xr:uid="{7AC7EABD-699E-4339-B85D-DCF51DA5D4D6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7" authorId="41" shapeId="0" xr:uid="{5D0FDE62-7E6A-4F7C-87CB-A11080EDB1EE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8" authorId="42" shapeId="0" xr:uid="{027DF3FB-A2BC-479E-A87F-8CAB5C33D263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389" authorId="43" shapeId="0" xr:uid="{7B9C6307-1219-41BA-88AF-8E996F63AD13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1" authorId="44" shapeId="0" xr:uid="{7119CC8B-662F-4634-8261-54ABAD3AE4C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2" authorId="45" shapeId="0" xr:uid="{CCF284BA-5D81-49C3-B95C-680EC1A664E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3" authorId="46" shapeId="0" xr:uid="{05F42B19-F163-4A12-93B3-EA1C910C2EAD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7" authorId="47" shapeId="0" xr:uid="{0F7ED692-324C-423F-A548-B58E4324E1E5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8" authorId="48" shapeId="0" xr:uid="{359F601B-8DCB-4304-BB72-22F4C9A6CF2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399" authorId="49" shapeId="0" xr:uid="{3CDCEBB7-EF2E-4A6E-BF40-582717E2C33F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00" authorId="50" shapeId="0" xr:uid="{5DAF534D-9B43-4038-9601-D99A9ED1A30D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01" authorId="51" shapeId="0" xr:uid="{45C8ACC7-FF93-4666-A751-A2C021042D0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2" authorId="52" shapeId="0" xr:uid="{B1C4A147-9E4A-4661-A125-4FA3AE357932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3" authorId="53" shapeId="0" xr:uid="{24AFD2C2-6917-4AFE-9001-B566809577A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08" authorId="54" shapeId="0" xr:uid="{7BCA3E2E-EA3B-4905-BDB5-0C5C8091AA35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09" authorId="55" shapeId="0" xr:uid="{52C96D93-3EB1-4A2B-AFCD-A024B48D5380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11" authorId="56" shapeId="0" xr:uid="{0E2F51D2-0043-4A40-8621-339FFBF3DA2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2" authorId="57" shapeId="0" xr:uid="{5265F555-52A3-4068-8FD9-9EC75C9FCE6A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4" authorId="58" shapeId="0" xr:uid="{2A9B35EB-74CA-4D73-9552-8E714B0DF5D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5" authorId="59" shapeId="0" xr:uid="{A9394D96-F5B7-450B-B5ED-93272D3FB723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18" authorId="60" shapeId="0" xr:uid="{3C89EE80-3161-4FF4-BEBD-E7375B53B4E9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19" authorId="61" shapeId="0" xr:uid="{4B008EB0-962E-49D9-97EE-9CDBB2CD614A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0" authorId="62" shapeId="0" xr:uid="{3DA9D3CB-4641-46F8-A9FD-5B5F29790613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2" authorId="63" shapeId="0" xr:uid="{24E0BFC7-0B2A-4058-B74C-48565977181C}">
      <text>
        <t>[對話串註解]
您的 Excel 版本可讓您讀取此對話串註解; 但若以較新的 Excel 版本開啟此檔案，將會移除對它進行的所有編輯。深入了解: https://go.microsoft.com/fwlink/?linkid=870924。
註解:
    電源使用規格</t>
      </text>
    </comment>
    <comment ref="C423" authorId="64" shapeId="0" xr:uid="{48F6496F-5367-4F22-AAD5-ABDA8A7551A3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4" authorId="65" shapeId="0" xr:uid="{CECAEAEB-FCB1-46DC-9EA9-3E3A6AFA68D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5" authorId="66" shapeId="0" xr:uid="{647BF09F-E345-48F2-9FB6-4AAC4A1DDD1B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6" authorId="67" shapeId="0" xr:uid="{1E6F725F-A445-4BB9-98B9-75B77B841DD7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8" authorId="68" shapeId="0" xr:uid="{F7E22E12-4C02-4B14-A7E6-0B4D7C5BD5F4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  <comment ref="C429" authorId="69" shapeId="0" xr:uid="{FE452365-A9D1-415E-8DBB-D1C49C092966}">
      <text>
        <t>[對話串註解]
您的 Excel 版本可讓您讀取此對話串註解; 但若以較新的 Excel 版本開啟此檔案，將會移除對它進行的所有編輯。深入了解: https://go.microsoft.com/fwlink/?linkid=870924。
註解:
    車規品</t>
      </text>
    </comment>
  </commentList>
</comments>
</file>

<file path=xl/sharedStrings.xml><?xml version="1.0" encoding="utf-8"?>
<sst xmlns="http://schemas.openxmlformats.org/spreadsheetml/2006/main" count="7063" uniqueCount="881">
  <si>
    <t>L/T</t>
    <phoneticPr fontId="1" type="noConversion"/>
  </si>
  <si>
    <t>MOQ</t>
    <phoneticPr fontId="1" type="noConversion"/>
  </si>
  <si>
    <t>Remark</t>
    <phoneticPr fontId="1" type="noConversion"/>
  </si>
  <si>
    <t>Temp.Characteristic</t>
    <phoneticPr fontId="1" type="noConversion"/>
  </si>
  <si>
    <t>Tolerance</t>
    <phoneticPr fontId="1" type="noConversion"/>
  </si>
  <si>
    <t>1.0 x 0.5(0402)</t>
    <phoneticPr fontId="1" type="noConversion"/>
  </si>
  <si>
    <t>0.5mm</t>
    <phoneticPr fontId="1" type="noConversion"/>
  </si>
  <si>
    <t>CL05A475MQ5NRNC</t>
  </si>
  <si>
    <t>CL05A225KP5NSNC</t>
  </si>
  <si>
    <t>CL05A104KA5NNNC</t>
    <phoneticPr fontId="1" type="noConversion"/>
  </si>
  <si>
    <t>1.6 x 0.8
(0603)</t>
    <phoneticPr fontId="1" type="noConversion"/>
  </si>
  <si>
    <t>0.8mm</t>
    <phoneticPr fontId="1" type="noConversion"/>
  </si>
  <si>
    <t>CL10B104KA8NNNC</t>
    <phoneticPr fontId="1" type="noConversion"/>
  </si>
  <si>
    <t>2.0 x 1.25
(0805)</t>
    <phoneticPr fontId="1" type="noConversion"/>
  </si>
  <si>
    <t>1.25mm</t>
    <phoneticPr fontId="1" type="noConversion"/>
  </si>
  <si>
    <t>CL21A106KOQNNNE</t>
  </si>
  <si>
    <t>CL21A106KAYNNNE</t>
  </si>
  <si>
    <t>CL21A475KAQNNNE</t>
  </si>
  <si>
    <t>1.6mm</t>
    <phoneticPr fontId="1" type="noConversion"/>
  </si>
  <si>
    <t>0.8mm</t>
    <phoneticPr fontId="1" type="noConversion"/>
  </si>
  <si>
    <t>±10 %</t>
    <phoneticPr fontId="1" type="noConversion"/>
  </si>
  <si>
    <t>CL10B104KB8NNNC</t>
  </si>
  <si>
    <t>±5 %</t>
    <phoneticPr fontId="1" type="noConversion"/>
  </si>
  <si>
    <t>0.85mm</t>
    <phoneticPr fontId="1" type="noConversion"/>
  </si>
  <si>
    <t>1.6mm</t>
    <phoneticPr fontId="1" type="noConversion"/>
  </si>
  <si>
    <t>CL31A106KAHNNNE</t>
    <phoneticPr fontId="1" type="noConversion"/>
  </si>
  <si>
    <t>0603B104K500CT</t>
    <phoneticPr fontId="1" type="noConversion"/>
  </si>
  <si>
    <t>1.25mm</t>
    <phoneticPr fontId="1" type="noConversion"/>
  </si>
  <si>
    <t>CL21A106KPFNNNE</t>
    <phoneticPr fontId="1" type="noConversion"/>
  </si>
  <si>
    <t>4.5 x 3.2(1812)</t>
    <phoneticPr fontId="1" type="noConversion"/>
  </si>
  <si>
    <t>0.8mm</t>
    <phoneticPr fontId="1" type="noConversion"/>
  </si>
  <si>
    <t>CL10C150JB8NNNC</t>
    <phoneticPr fontId="1" type="noConversion"/>
  </si>
  <si>
    <t>CL21B225KAFNNNE</t>
  </si>
  <si>
    <t>CL10C221JB8NNNC</t>
  </si>
  <si>
    <t>CL10C101JB8NNNC</t>
  </si>
  <si>
    <t>CL10B102KB8NNNC</t>
  </si>
  <si>
    <t>CL10B103KB8NNNC</t>
  </si>
  <si>
    <t>0603B102K500CT</t>
  </si>
  <si>
    <t>0603B103K500CT</t>
  </si>
  <si>
    <t>±20 %</t>
    <phoneticPr fontId="1" type="noConversion"/>
  </si>
  <si>
    <t>X7R</t>
    <phoneticPr fontId="1" type="noConversion"/>
  </si>
  <si>
    <t>COG</t>
    <phoneticPr fontId="1" type="noConversion"/>
  </si>
  <si>
    <t>±5 %</t>
  </si>
  <si>
    <t>X5R</t>
    <phoneticPr fontId="1" type="noConversion"/>
  </si>
  <si>
    <t>±20 %</t>
  </si>
  <si>
    <t>CL31A226KAHNNNE</t>
    <phoneticPr fontId="1" type="noConversion"/>
  </si>
  <si>
    <t>CC1206KKX5R8BB226</t>
  </si>
  <si>
    <t>CL10A226MQ8NRNC</t>
  </si>
  <si>
    <t>CC0805KKX7R8BB105</t>
  </si>
  <si>
    <t>CL10B105KA8NNNC</t>
  </si>
  <si>
    <t>CC0603KRX5R8BB105</t>
  </si>
  <si>
    <t>CC0402MRX5R5BB475</t>
  </si>
  <si>
    <t>2.0 x 1.25
(0805)</t>
  </si>
  <si>
    <t>3.2 x 1.6
(1206)</t>
  </si>
  <si>
    <t>3.2 x 2.5
(1210)</t>
  </si>
  <si>
    <t>Murata</t>
    <phoneticPr fontId="1" type="noConversion"/>
  </si>
  <si>
    <t>YAGEO</t>
    <phoneticPr fontId="1" type="noConversion"/>
  </si>
  <si>
    <t xml:space="preserve">Samsung </t>
    <phoneticPr fontId="1" type="noConversion"/>
  </si>
  <si>
    <t>WALSIN</t>
    <phoneticPr fontId="1" type="noConversion"/>
  </si>
  <si>
    <t>TDK</t>
    <phoneticPr fontId="1" type="noConversion"/>
  </si>
  <si>
    <t>TAIYO</t>
    <phoneticPr fontId="1" type="noConversion"/>
  </si>
  <si>
    <t>10V</t>
    <phoneticPr fontId="1" type="noConversion"/>
  </si>
  <si>
    <t>16V</t>
    <phoneticPr fontId="1" type="noConversion"/>
  </si>
  <si>
    <t>25V</t>
    <phoneticPr fontId="1" type="noConversion"/>
  </si>
  <si>
    <t>50V</t>
    <phoneticPr fontId="1" type="noConversion"/>
  </si>
  <si>
    <t>6.3V</t>
    <phoneticPr fontId="1" type="noConversion"/>
  </si>
  <si>
    <t>Thickness(mm)</t>
    <phoneticPr fontId="1" type="noConversion"/>
  </si>
  <si>
    <t>Capacitance</t>
    <phoneticPr fontId="1" type="noConversion"/>
  </si>
  <si>
    <t>Rated Volt(Vdc)</t>
    <phoneticPr fontId="1" type="noConversion"/>
  </si>
  <si>
    <t>Temperature Characteristic</t>
    <phoneticPr fontId="1" type="noConversion"/>
  </si>
  <si>
    <t>0.6 x 0.3(0201)</t>
    <phoneticPr fontId="1" type="noConversion"/>
  </si>
  <si>
    <t>0.3mm</t>
    <phoneticPr fontId="1" type="noConversion"/>
  </si>
  <si>
    <t>16V</t>
    <phoneticPr fontId="1" type="noConversion"/>
  </si>
  <si>
    <t xml:space="preserve">-55 to 105℃  </t>
    <phoneticPr fontId="1" type="noConversion"/>
  </si>
  <si>
    <t>GRM033C81C104KE14D</t>
    <phoneticPr fontId="1" type="noConversion"/>
  </si>
  <si>
    <t>X6S</t>
    <phoneticPr fontId="1" type="noConversion"/>
  </si>
  <si>
    <t>GRM033R61A224KE90D</t>
  </si>
  <si>
    <t>10V</t>
    <phoneticPr fontId="1" type="noConversion"/>
  </si>
  <si>
    <t>-55 to 85℃</t>
  </si>
  <si>
    <t>-55 to 85℃</t>
    <phoneticPr fontId="1" type="noConversion"/>
  </si>
  <si>
    <t>X5R</t>
    <phoneticPr fontId="1" type="noConversion"/>
  </si>
  <si>
    <t>COG</t>
    <phoneticPr fontId="1" type="noConversion"/>
  </si>
  <si>
    <t>6.3V</t>
    <phoneticPr fontId="1" type="noConversion"/>
  </si>
  <si>
    <t>GRM033C80J224ME90D</t>
    <phoneticPr fontId="1" type="noConversion"/>
  </si>
  <si>
    <t>GRM033R61A105ME44D</t>
  </si>
  <si>
    <t>CL03A105MP3NSNC</t>
  </si>
  <si>
    <t>CL03A224KP3NNNC</t>
  </si>
  <si>
    <t>CL03A224KQ3NNNC</t>
  </si>
  <si>
    <t>LDK105CBJ106MVLF</t>
    <phoneticPr fontId="1" type="noConversion"/>
  </si>
  <si>
    <t>1.0 x 0.5(0402)</t>
  </si>
  <si>
    <t>0.5mm</t>
    <phoneticPr fontId="1" type="noConversion"/>
  </si>
  <si>
    <t>LDK105BBJ475KV-F</t>
    <phoneticPr fontId="1" type="noConversion"/>
  </si>
  <si>
    <t>±10 %</t>
  </si>
  <si>
    <t>CL05A475KP5NRNC</t>
  </si>
  <si>
    <t>GRM033R60J225ME47D</t>
  </si>
  <si>
    <t>CL03A225MQ3CRNC</t>
  </si>
  <si>
    <t>GRM033R61A225KE47D</t>
  </si>
  <si>
    <t>10V</t>
    <phoneticPr fontId="1" type="noConversion"/>
  </si>
  <si>
    <t>X7S</t>
    <phoneticPr fontId="1" type="noConversion"/>
  </si>
  <si>
    <t>GRM155R61H105KE05D</t>
  </si>
  <si>
    <t>25V</t>
    <phoneticPr fontId="1" type="noConversion"/>
  </si>
  <si>
    <t>GRM155R61E225KE11D</t>
  </si>
  <si>
    <t>50V</t>
    <phoneticPr fontId="1" type="noConversion"/>
  </si>
  <si>
    <t>CL05A225KA5NUNC</t>
  </si>
  <si>
    <t>6.3V</t>
    <phoneticPr fontId="1" type="noConversion"/>
  </si>
  <si>
    <t>X5R</t>
    <phoneticPr fontId="1" type="noConversion"/>
  </si>
  <si>
    <t>CL05A106MQ5NUNC</t>
  </si>
  <si>
    <t>GRM188R61H225KE11D</t>
  </si>
  <si>
    <t>1.6 x 0.8
(0603)</t>
  </si>
  <si>
    <t>0.8mm</t>
    <phoneticPr fontId="1" type="noConversion"/>
  </si>
  <si>
    <t>GRM21BR71H105KA12L</t>
  </si>
  <si>
    <t>X7R</t>
    <phoneticPr fontId="1" type="noConversion"/>
  </si>
  <si>
    <t>CL21B105KBFNNNE</t>
    <phoneticPr fontId="1" type="noConversion"/>
  </si>
  <si>
    <t>0805B105K500CT</t>
  </si>
  <si>
    <t>1.25mm</t>
    <phoneticPr fontId="1" type="noConversion"/>
  </si>
  <si>
    <t>GRM21BR61H475KE51L</t>
  </si>
  <si>
    <t>CL21A475KBQNNNE</t>
  </si>
  <si>
    <t>GRM21BR61A476ME15L</t>
  </si>
  <si>
    <t>1.6mm</t>
    <phoneticPr fontId="1" type="noConversion"/>
  </si>
  <si>
    <t>CL31B106KAHNNNE</t>
  </si>
  <si>
    <t>GRM31CR71H475KA12L</t>
  </si>
  <si>
    <t>CL31B475KBHNNNE</t>
  </si>
  <si>
    <t>GRM31CR71A226KE15L</t>
  </si>
  <si>
    <t>GRM32ER61C476KE15L</t>
  </si>
  <si>
    <t>2.5mm</t>
    <phoneticPr fontId="1" type="noConversion"/>
  </si>
  <si>
    <t>CL31B226KPHNNNE</t>
  </si>
  <si>
    <t>16V</t>
    <phoneticPr fontId="1" type="noConversion"/>
  </si>
  <si>
    <t>LDK063BBJ225MPLM9</t>
  </si>
  <si>
    <t>CL03A225MP3CRNC</t>
  </si>
  <si>
    <t>CL05A105KL5NRNC</t>
  </si>
  <si>
    <t>Kyocera</t>
    <phoneticPr fontId="1" type="noConversion"/>
  </si>
  <si>
    <t>CM03X5R475M06AH</t>
    <phoneticPr fontId="1" type="noConversion"/>
  </si>
  <si>
    <t>CM105X5R476M06AT</t>
    <phoneticPr fontId="1" type="noConversion"/>
  </si>
  <si>
    <t>CL21B105KAFNNNE</t>
    <phoneticPr fontId="1" type="noConversion"/>
  </si>
  <si>
    <t>35V</t>
    <phoneticPr fontId="1" type="noConversion"/>
  </si>
  <si>
    <t>CM03X5R225M10AH</t>
    <phoneticPr fontId="1" type="noConversion"/>
  </si>
  <si>
    <t>EMK105B7104KV-F</t>
  </si>
  <si>
    <t>CL03A105MQ3CSNC</t>
  </si>
  <si>
    <t>0.6 x 0.3(0201)</t>
  </si>
  <si>
    <t>0.3mm</t>
    <phoneticPr fontId="1" type="noConversion"/>
  </si>
  <si>
    <t>6.3V</t>
    <phoneticPr fontId="1" type="noConversion"/>
  </si>
  <si>
    <t>X5R</t>
  </si>
  <si>
    <t>X5R</t>
    <phoneticPr fontId="1" type="noConversion"/>
  </si>
  <si>
    <t>TMK212BBJ106KG-T</t>
  </si>
  <si>
    <t>LMK105BJ225KV-F</t>
  </si>
  <si>
    <t>EMK105ABJ225KV-F</t>
  </si>
  <si>
    <t>16V</t>
    <phoneticPr fontId="1" type="noConversion"/>
  </si>
  <si>
    <t>0.5mm</t>
  </si>
  <si>
    <t>ADK107BBJ476MA-R</t>
  </si>
  <si>
    <t>4V</t>
    <phoneticPr fontId="1" type="noConversion"/>
  </si>
  <si>
    <t>0.8mm</t>
    <phoneticPr fontId="1" type="noConversion"/>
  </si>
  <si>
    <t>CL05A105KA5NQNC</t>
  </si>
  <si>
    <t>25V</t>
    <phoneticPr fontId="1" type="noConversion"/>
  </si>
  <si>
    <t>CL03A105KQ3CSNC</t>
  </si>
  <si>
    <t>GRM033R60J105KEA2D</t>
    <phoneticPr fontId="1" type="noConversion"/>
  </si>
  <si>
    <t>JMK063ABJ105KP-F</t>
  </si>
  <si>
    <t>CL03A104KO3NNNC</t>
    <phoneticPr fontId="1" type="noConversion"/>
  </si>
  <si>
    <t>EMK063BJ104KP-F</t>
  </si>
  <si>
    <t>CL10A225KA8NNNC</t>
  </si>
  <si>
    <t>CL05B104KB5NNNC</t>
    <phoneticPr fontId="1" type="noConversion"/>
  </si>
  <si>
    <t>50V</t>
    <phoneticPr fontId="1" type="noConversion"/>
  </si>
  <si>
    <t>X7R</t>
    <phoneticPr fontId="1" type="noConversion"/>
  </si>
  <si>
    <t>GCM188R71E105KA64D</t>
    <phoneticPr fontId="1" type="noConversion"/>
  </si>
  <si>
    <t>CL21B225KOFNNNE</t>
  </si>
  <si>
    <t>GRM21BR71C225KA12L</t>
    <phoneticPr fontId="1" type="noConversion"/>
  </si>
  <si>
    <t>CL21B104KCFNNNE</t>
  </si>
  <si>
    <t>100V</t>
    <phoneticPr fontId="1" type="noConversion"/>
  </si>
  <si>
    <t>GCM21BR72A104KA37L</t>
    <phoneticPr fontId="1" type="noConversion"/>
  </si>
  <si>
    <t>CL10A105KA8NNNC</t>
  </si>
  <si>
    <t>GRM188R61E105KA12D</t>
    <phoneticPr fontId="1" type="noConversion"/>
  </si>
  <si>
    <t>GRM21BR71E225KE11L</t>
    <phoneticPr fontId="1" type="noConversion"/>
  </si>
  <si>
    <t>CL03A104KA3NNNC</t>
    <phoneticPr fontId="1" type="noConversion"/>
  </si>
  <si>
    <t>GRM033R61E104KE14D</t>
    <phoneticPr fontId="1" type="noConversion"/>
  </si>
  <si>
    <t>GRM1885C1H101JA01D</t>
    <phoneticPr fontId="1" type="noConversion"/>
  </si>
  <si>
    <t>GRM1885C1H221JA01D</t>
    <phoneticPr fontId="1" type="noConversion"/>
  </si>
  <si>
    <t>CL10C471JB8NNNC</t>
  </si>
  <si>
    <t>COG</t>
    <phoneticPr fontId="1" type="noConversion"/>
  </si>
  <si>
    <t>GRM1885C1H471JA01D</t>
    <phoneticPr fontId="1" type="noConversion"/>
  </si>
  <si>
    <t>CL10C472JB8NNNC</t>
  </si>
  <si>
    <t>GRM1885C1H472JA01D</t>
    <phoneticPr fontId="1" type="noConversion"/>
  </si>
  <si>
    <t>CL10B223KB8NNNC</t>
  </si>
  <si>
    <t>GRM188R71H223KA01D</t>
    <phoneticPr fontId="1" type="noConversion"/>
  </si>
  <si>
    <t>GCM31CR71H225KA55L</t>
    <phoneticPr fontId="1" type="noConversion"/>
  </si>
  <si>
    <t>CL31B225KBHNNNE</t>
  </si>
  <si>
    <t>GRM1555C1H181JA01D</t>
    <phoneticPr fontId="1" type="noConversion"/>
  </si>
  <si>
    <t>CL05C181JB5NNNC</t>
    <phoneticPr fontId="1" type="noConversion"/>
  </si>
  <si>
    <t>EMK107BB7225KA-T</t>
  </si>
  <si>
    <t>EDK105BBJ475MVLF</t>
  </si>
  <si>
    <t>LDK107BBJ226MA-R</t>
    <phoneticPr fontId="1" type="noConversion"/>
  </si>
  <si>
    <t>CM05X5R226M06AH</t>
  </si>
  <si>
    <t>6.3v</t>
    <phoneticPr fontId="1" type="noConversion"/>
  </si>
  <si>
    <t>GRM032D80G105ME01D</t>
  </si>
  <si>
    <t>GRM032R60G105ME05D</t>
  </si>
  <si>
    <t>GRM033C80J105ME05D</t>
  </si>
  <si>
    <t>GRM033C81A105ME05D</t>
  </si>
  <si>
    <t>GRM033D70E105ME15D</t>
  </si>
  <si>
    <t>GRM033D70G105ME01D</t>
  </si>
  <si>
    <t>GRM033D70J105ME01D</t>
  </si>
  <si>
    <t>GRM033R60G105MEA2D</t>
  </si>
  <si>
    <t>GRM033R61A105ME15D</t>
  </si>
  <si>
    <t>GRM033R61C105ME15D</t>
  </si>
  <si>
    <t>GRM033D80E225ME47D</t>
  </si>
  <si>
    <t>GRM033R60G225ME44D</t>
  </si>
  <si>
    <t>GRM033R60G225ME47D</t>
  </si>
  <si>
    <t>GRM033R60J225ME15D</t>
  </si>
  <si>
    <t>GRM033R61A225ME47D</t>
  </si>
  <si>
    <t>GRM152D80E225ME01D</t>
  </si>
  <si>
    <t>GRM152R60J225ME05D</t>
  </si>
  <si>
    <t>GRM153R60G225ME95D</t>
  </si>
  <si>
    <t>GRM155C70G225ME11D</t>
  </si>
  <si>
    <t>GRM155C70J225KE11D</t>
  </si>
  <si>
    <t>GRM155C71A225KE11D</t>
  </si>
  <si>
    <t>GRM155C71A225ME11D</t>
  </si>
  <si>
    <t>GRM155C80E225ME15D</t>
  </si>
  <si>
    <t>GRM155C80G225ME15D</t>
  </si>
  <si>
    <t>GRM155C80J225KE95D</t>
  </si>
  <si>
    <t>GRM155C81A225KE11D</t>
  </si>
  <si>
    <t>GRM155C81A225KE44D</t>
  </si>
  <si>
    <t>GRM155C81A225ME11D</t>
  </si>
  <si>
    <t>GRM155C81A225ME15D</t>
  </si>
  <si>
    <t>GRM155C81A225ME44D</t>
  </si>
  <si>
    <t>GRM155C81C225KE11D</t>
  </si>
  <si>
    <t>GRM155C81C225ME11D</t>
  </si>
  <si>
    <t>GRM155C81C225ME15D</t>
  </si>
  <si>
    <t>GRM155C81E225KE11D</t>
  </si>
  <si>
    <t>GRM155C81E225ME11D</t>
  </si>
  <si>
    <t>GRM155D70J225ME44D</t>
  </si>
  <si>
    <t>GRM155D71A225KE11D</t>
  </si>
  <si>
    <t>GRM155D71A225ME11D</t>
  </si>
  <si>
    <t>GRM155D71A225ME15D</t>
  </si>
  <si>
    <t>GRM155D71C225ME11D</t>
  </si>
  <si>
    <t>GRM155D80G225KE95D</t>
  </si>
  <si>
    <t>GRM155D80G225ME95D</t>
  </si>
  <si>
    <t>GRM155D80J225KE95D</t>
  </si>
  <si>
    <t>GRM155D80J225ME95D</t>
  </si>
  <si>
    <t>GRM155D81C225ME11D</t>
  </si>
  <si>
    <t>GRM155D81E225ME11D</t>
  </si>
  <si>
    <t>GRM155R60G225ME15D</t>
  </si>
  <si>
    <t>GRM155R60J225KE01D</t>
  </si>
  <si>
    <t>GRM155R60J225ME01D</t>
  </si>
  <si>
    <t>GRM155R60J225ME15D</t>
  </si>
  <si>
    <t>GRM155R61A225KE01D</t>
  </si>
  <si>
    <t>GRM155R61A225ME01D</t>
  </si>
  <si>
    <t>GRM155R61C225KE11D</t>
  </si>
  <si>
    <t>GRM155R61C225KE44D</t>
  </si>
  <si>
    <t>GRM155R61C225ME11D</t>
  </si>
  <si>
    <t>GRM155R61C225ME15D</t>
  </si>
  <si>
    <t>GRM155R61C225ME44D</t>
  </si>
  <si>
    <t>GRM155R61E225ME11D</t>
  </si>
  <si>
    <t>GRM155R6YA225KE11D</t>
  </si>
  <si>
    <t>GRM155R6YA225ME11D</t>
  </si>
  <si>
    <t>GRM155Z71A225KE01D</t>
  </si>
  <si>
    <t>GRM155Z71A225KE44D</t>
  </si>
  <si>
    <t>GRM155Z71A225ME43D</t>
  </si>
  <si>
    <t>GRM153R60G475ME15D</t>
  </si>
  <si>
    <t>GRM153R60J475ME15D</t>
  </si>
  <si>
    <t>GRM155D80E475ME47D</t>
  </si>
  <si>
    <t>GRM155R60E475ME76D</t>
  </si>
  <si>
    <t>GRM155R60G475ME47D</t>
  </si>
  <si>
    <t>GRM155R60G475ME87D</t>
  </si>
  <si>
    <t>GRM155R60J475ME47D</t>
  </si>
  <si>
    <t>GRM155R61C475ME11D</t>
  </si>
  <si>
    <t>GRM155C80E106ME44D</t>
  </si>
  <si>
    <t>GRM155C80J106ME11D</t>
  </si>
  <si>
    <t>GRM155R60E106ME16D</t>
  </si>
  <si>
    <t>GRM155R61A106ME11D</t>
  </si>
  <si>
    <t>GRM155C80G105ME19D</t>
  </si>
  <si>
    <t>GRM155C80G105KE19D</t>
  </si>
  <si>
    <t>GRM155C80J105ME15D</t>
  </si>
  <si>
    <t>GRM155R61C105KE01D</t>
  </si>
  <si>
    <t>GRM155R61C105ME01D</t>
  </si>
  <si>
    <t>GRM155R61C105KA12D</t>
  </si>
  <si>
    <t>GRM155R60J105KE17D</t>
  </si>
  <si>
    <t>GRM155R60G105ME01D</t>
  </si>
  <si>
    <t>GRM155C80J105ME02D</t>
  </si>
  <si>
    <t>GRM155C80G105ME02D</t>
  </si>
  <si>
    <t>GRM185R60G106ME15D</t>
  </si>
  <si>
    <t>GRM185R60J106ME15D</t>
  </si>
  <si>
    <t>GRM188C80E106KE47D</t>
  </si>
  <si>
    <t>GRM188C80E106ME47D</t>
  </si>
  <si>
    <t>GRM188C80G106KE47D</t>
  </si>
  <si>
    <t>GRM188C80G106MA73D</t>
  </si>
  <si>
    <t>GRM188C80G106ME47D</t>
  </si>
  <si>
    <t>GRM188C80G106ME69D</t>
  </si>
  <si>
    <t>GRM188C80J106KA73D</t>
  </si>
  <si>
    <t>GRM188C80J106KEA6D</t>
  </si>
  <si>
    <t>GRM188C80J106MA73D</t>
  </si>
  <si>
    <t>GRM188C80J106MEA6D</t>
  </si>
  <si>
    <t>GRM188C81A106KA73D</t>
  </si>
  <si>
    <t>GRM188C81A106MA73D</t>
  </si>
  <si>
    <t>GRM188C81C106MA73D</t>
  </si>
  <si>
    <t>GRM188D70J106MA73D</t>
  </si>
  <si>
    <t>GRM188D71A106KA73D</t>
  </si>
  <si>
    <t>GRM188D71A106MA73D</t>
  </si>
  <si>
    <t>GRM188R60G106ME47D</t>
  </si>
  <si>
    <t>GRM188R60J106KE47D</t>
  </si>
  <si>
    <t>GRM188R61A106MAALD</t>
  </si>
  <si>
    <t>GRM188R61C106KAALD</t>
  </si>
  <si>
    <t>GRM188R61C106MA73D</t>
  </si>
  <si>
    <t>GRM188R61C106MAALD</t>
  </si>
  <si>
    <t>GRM188R61E106KA73D</t>
  </si>
  <si>
    <t>GRM188R6YA106MA73D</t>
  </si>
  <si>
    <t>GRM186R60G226ME15D</t>
  </si>
  <si>
    <t>GRM186R60J226ME15D</t>
  </si>
  <si>
    <t>GRM187R60J226ME15D</t>
  </si>
  <si>
    <t>GRM187R61A226ME15D</t>
  </si>
  <si>
    <t>GRM188C80G226ME15D</t>
  </si>
  <si>
    <t>GRM188C80G226MEA0D</t>
  </si>
  <si>
    <t>GRM188C80J226ME15D</t>
  </si>
  <si>
    <t>GRM188R60G226MEA0D</t>
  </si>
  <si>
    <t>GRM188R60J226ME15D</t>
  </si>
  <si>
    <t>GRM188R60J226MEA0D</t>
  </si>
  <si>
    <t>GRM188R61A226ME15D</t>
  </si>
  <si>
    <t>NCP18XH103J0SRB</t>
  </si>
  <si>
    <t>NCU18XH103F6SRB</t>
  </si>
  <si>
    <t>GRM188R61C225KE15D</t>
  </si>
  <si>
    <t>GRM188C81A225KE34D</t>
  </si>
  <si>
    <t>GRM188R61A225ME34D</t>
  </si>
  <si>
    <t>GRM188R61A225KE34D</t>
  </si>
  <si>
    <t>GRM188R61A225KE19D</t>
  </si>
  <si>
    <t>GRM188R60J225ME19D</t>
  </si>
  <si>
    <t>GRM188R60J225ME01D</t>
  </si>
  <si>
    <t>GRM188R60J225KE19D</t>
  </si>
  <si>
    <t>GRM188R60J225KE01D</t>
  </si>
  <si>
    <t>GRM188C80J225ME19D</t>
  </si>
  <si>
    <t>GRM188C80J225KE19D</t>
  </si>
  <si>
    <t>GRM188R60J475ME28D</t>
  </si>
  <si>
    <t>GRM188R61A475KE15D</t>
  </si>
  <si>
    <t>GRM188C80G475KE19D</t>
  </si>
  <si>
    <t>GRM188C80G475ME19D</t>
  </si>
  <si>
    <t>GRM188C80J475KE15D</t>
  </si>
  <si>
    <t>GRM188C80J475ME15D</t>
  </si>
  <si>
    <t>GRM188R60J475ME19D</t>
  </si>
  <si>
    <t>GRM188R61A335KE15D</t>
  </si>
  <si>
    <t>GRM188R61A335ME15D</t>
  </si>
  <si>
    <t>GRM188R61A475ME15D</t>
  </si>
  <si>
    <t>GRM21BC71C106KE11L</t>
  </si>
  <si>
    <t>GRM21BC71C106ME11L</t>
  </si>
  <si>
    <t>GRM21BC71E106KE11L</t>
  </si>
  <si>
    <t>GRM21BC71E106ME11L</t>
  </si>
  <si>
    <t>GRM21BC81C106KA73L</t>
  </si>
  <si>
    <t>GRM21BC8YA106ME11L</t>
  </si>
  <si>
    <t>GRM21BR61H106ME43L</t>
  </si>
  <si>
    <t>GRM21BR6YA106ME43L</t>
  </si>
  <si>
    <t>GRM21BC81A226ME44L</t>
  </si>
  <si>
    <t>GRM21BC81C226ME44L</t>
  </si>
  <si>
    <t>GRM21BD70J226ME44L</t>
  </si>
  <si>
    <t>GRM21BE70G226ME51L</t>
  </si>
  <si>
    <t>GRM21BZ71A226ME15L</t>
  </si>
  <si>
    <t>GRM219D80E476ME44D</t>
  </si>
  <si>
    <t>GRM219R60G476ME44D</t>
  </si>
  <si>
    <t>GRM219R60J476ME44D</t>
  </si>
  <si>
    <t>GRM21BC80G476ME15L</t>
  </si>
  <si>
    <t>GRM21BD80G476ME01L</t>
  </si>
  <si>
    <t>GRM21BR60G476ME01L</t>
  </si>
  <si>
    <t>GRM21BR60J476ME01L</t>
  </si>
  <si>
    <t>GRM21BR60J476ME11L</t>
  </si>
  <si>
    <t>0.2mm</t>
  </si>
  <si>
    <t>X6T</t>
  </si>
  <si>
    <t xml:space="preserve">-55 to 105℃  </t>
  </si>
  <si>
    <t>4V</t>
  </si>
  <si>
    <t>6.3V</t>
  </si>
  <si>
    <t>0.3mm</t>
  </si>
  <si>
    <t>X6S</t>
  </si>
  <si>
    <t>10V</t>
  </si>
  <si>
    <t>X7T</t>
  </si>
  <si>
    <t>2.5V</t>
  </si>
  <si>
    <t>16V</t>
  </si>
  <si>
    <t>X7S</t>
  </si>
  <si>
    <t>25V</t>
  </si>
  <si>
    <t>35V</t>
  </si>
  <si>
    <t>0.8mm</t>
  </si>
  <si>
    <t>0.6mm</t>
  </si>
  <si>
    <t>0.7mm</t>
  </si>
  <si>
    <t>1.25mm</t>
  </si>
  <si>
    <t>50V</t>
  </si>
  <si>
    <t>X7U</t>
  </si>
  <si>
    <t>0.85mm</t>
  </si>
  <si>
    <t>CL05A105KP5NNNC</t>
  </si>
  <si>
    <t>GRM033R60J105MEA2D </t>
    <phoneticPr fontId="1" type="noConversion"/>
  </si>
  <si>
    <t>LMK212BBJ226MD-T</t>
    <phoneticPr fontId="1" type="noConversion"/>
  </si>
  <si>
    <t>GRM21BD71A226ME44L</t>
    <phoneticPr fontId="1" type="noConversion"/>
  </si>
  <si>
    <t>X7T</t>
    <phoneticPr fontId="1" type="noConversion"/>
  </si>
  <si>
    <t xml:space="preserve">-55 to 125℃  </t>
    <phoneticPr fontId="1" type="noConversion"/>
  </si>
  <si>
    <t>静电容量变化或 温度系数</t>
    <phoneticPr fontId="1" type="noConversion"/>
  </si>
  <si>
    <t>X6T</t>
    <phoneticPr fontId="1" type="noConversion"/>
  </si>
  <si>
    <t xml:space="preserve">+22%–33% </t>
    <phoneticPr fontId="1" type="noConversion"/>
  </si>
  <si>
    <t>±15%</t>
    <phoneticPr fontId="1" type="noConversion"/>
  </si>
  <si>
    <t xml:space="preserve">±22% </t>
    <phoneticPr fontId="1" type="noConversion"/>
  </si>
  <si>
    <t>X7T</t>
    <phoneticPr fontId="1" type="noConversion"/>
  </si>
  <si>
    <t xml:space="preserve">-55 to 125℃  </t>
    <phoneticPr fontId="1" type="noConversion"/>
  </si>
  <si>
    <t xml:space="preserve">0±30ppm/°C </t>
    <phoneticPr fontId="1" type="noConversion"/>
  </si>
  <si>
    <t>±22%</t>
    <phoneticPr fontId="1" type="noConversion"/>
  </si>
  <si>
    <t xml:space="preserve">+22%–56% </t>
    <phoneticPr fontId="1" type="noConversion"/>
  </si>
  <si>
    <t>X7S</t>
    <phoneticPr fontId="1" type="noConversion"/>
  </si>
  <si>
    <t>50V</t>
    <phoneticPr fontId="1" type="noConversion"/>
  </si>
  <si>
    <t>GCM31CC71H475KA03L</t>
    <phoneticPr fontId="1" type="noConversion"/>
  </si>
  <si>
    <t>GRM21BR61E226ME44L</t>
  </si>
  <si>
    <t>TMK212AB7475KG-T</t>
  </si>
  <si>
    <t>TMK105BJ105KV-F</t>
    <phoneticPr fontId="1" type="noConversion"/>
  </si>
  <si>
    <t>GRM31CR71C106KAC7L</t>
  </si>
  <si>
    <t>GRM32DR71E106KA12L</t>
  </si>
  <si>
    <t>1.6mm</t>
  </si>
  <si>
    <t>X7R</t>
  </si>
  <si>
    <t>2.0mm</t>
  </si>
  <si>
    <t>CL10A225KO8NNNC</t>
  </si>
  <si>
    <t>CL10A475KA8NQNC</t>
  </si>
  <si>
    <t>CL31B106KOHNNNE</t>
  </si>
  <si>
    <t>CL32B106KAJNNNE</t>
  </si>
  <si>
    <t>CL05A106MP5NUNC</t>
  </si>
  <si>
    <t>CL05B105KQ5NQNC</t>
  </si>
  <si>
    <t>CL10A106KP8NNNC</t>
  </si>
  <si>
    <t>UJ2</t>
    <phoneticPr fontId="1" type="noConversion"/>
  </si>
  <si>
    <t xml:space="preserve">-750±120ppm/°C </t>
    <phoneticPr fontId="1" type="noConversion"/>
  </si>
  <si>
    <t>GRM31A5C2H221JW01D</t>
  </si>
  <si>
    <t>1.0mm</t>
    <phoneticPr fontId="1" type="noConversion"/>
  </si>
  <si>
    <t>500V</t>
    <phoneticPr fontId="1" type="noConversion"/>
  </si>
  <si>
    <t>GRM31A5C3A221JW01D</t>
  </si>
  <si>
    <t>1KV</t>
    <phoneticPr fontId="1" type="noConversion"/>
  </si>
  <si>
    <t>GRM31A7U2J102JW31D</t>
  </si>
  <si>
    <t>UJ2</t>
    <phoneticPr fontId="1" type="noConversion"/>
  </si>
  <si>
    <t>630V</t>
    <phoneticPr fontId="1" type="noConversion"/>
  </si>
  <si>
    <t>GRM31A7U2J221JW31D</t>
  </si>
  <si>
    <t>GRM31A7U2J680JW31D</t>
  </si>
  <si>
    <t>GRM31AR72J102KW01D</t>
  </si>
  <si>
    <t>GRM31BR72J102KW01L</t>
  </si>
  <si>
    <t>GRM31BR72J103KW01L</t>
  </si>
  <si>
    <t>GRM31BR72J222KW01L</t>
  </si>
  <si>
    <t>GRM31BR73A152KW01L</t>
  </si>
  <si>
    <t>GRM31BR73A471KW01L</t>
  </si>
  <si>
    <t>GRM31BR73A472KW01L</t>
  </si>
  <si>
    <t>GRM31CR72E104KW03L</t>
  </si>
  <si>
    <t>250V</t>
    <phoneticPr fontId="1" type="noConversion"/>
  </si>
  <si>
    <t>GRM32DR72E224KW01L</t>
  </si>
  <si>
    <t>2.0mm</t>
    <phoneticPr fontId="1" type="noConversion"/>
  </si>
  <si>
    <t>GRM32DR72J473KW01L</t>
  </si>
  <si>
    <t>GRM32QR73A103KW01L</t>
  </si>
  <si>
    <t>1.5mm</t>
    <phoneticPr fontId="1" type="noConversion"/>
  </si>
  <si>
    <t>GRM43DR72J104KW01L</t>
  </si>
  <si>
    <t>GRM1885C1H100JA01D</t>
  </si>
  <si>
    <t>CL10C100JB8NNNC</t>
    <phoneticPr fontId="1" type="noConversion"/>
  </si>
  <si>
    <t>GRM1885C1H102JA01D</t>
  </si>
  <si>
    <t>CL10C102JB8NNNC</t>
    <phoneticPr fontId="1" type="noConversion"/>
  </si>
  <si>
    <t>GRM1885C1H120JA01D</t>
  </si>
  <si>
    <t>CL10C120JB8NNNC</t>
    <phoneticPr fontId="1" type="noConversion"/>
  </si>
  <si>
    <t>GRM1885C1H150JA01D</t>
  </si>
  <si>
    <t>GRM1885C1H180JA01D</t>
  </si>
  <si>
    <t>CL10C180JB8NNNC</t>
    <phoneticPr fontId="1" type="noConversion"/>
  </si>
  <si>
    <t>GRM1885C1H200JA01D</t>
  </si>
  <si>
    <t>CL10C200JB8NNNC</t>
    <phoneticPr fontId="1" type="noConversion"/>
  </si>
  <si>
    <t>GRM1885C1H220JA01D</t>
  </si>
  <si>
    <t>CL10C220JB8NNNC</t>
    <phoneticPr fontId="1" type="noConversion"/>
  </si>
  <si>
    <t>GRM1885C1H271JA01D</t>
  </si>
  <si>
    <t>CL10C271JB8NNNC</t>
    <phoneticPr fontId="1" type="noConversion"/>
  </si>
  <si>
    <t>GRM1885C1H330JA01D</t>
  </si>
  <si>
    <t>CL10C330JB8NNNC</t>
    <phoneticPr fontId="1" type="noConversion"/>
  </si>
  <si>
    <t>GRM1885C1H331JA01D</t>
  </si>
  <si>
    <t>CL10C331JB8NNNC</t>
    <phoneticPr fontId="1" type="noConversion"/>
  </si>
  <si>
    <t>GRM1885C1H470JA01D</t>
  </si>
  <si>
    <t>CL10C470JB8NNNC</t>
    <phoneticPr fontId="1" type="noConversion"/>
  </si>
  <si>
    <t>GRM1885C1H471JA01D</t>
  </si>
  <si>
    <t>CL10C471JB8NNNC</t>
    <phoneticPr fontId="1" type="noConversion"/>
  </si>
  <si>
    <t>GRM1885C1H472JA01D</t>
  </si>
  <si>
    <t>CL10C472JB8NNNC</t>
    <phoneticPr fontId="1" type="noConversion"/>
  </si>
  <si>
    <t>GRM1885C1H561JA01D</t>
  </si>
  <si>
    <t>CL10C561JB8NNNC</t>
    <phoneticPr fontId="1" type="noConversion"/>
  </si>
  <si>
    <t>GRM188R71C224KA01D</t>
  </si>
  <si>
    <t>CL10B224KO8NNNC</t>
    <phoneticPr fontId="1" type="noConversion"/>
  </si>
  <si>
    <t>GRM188R71E224KA88D</t>
  </si>
  <si>
    <t>CL10B224KA8NNNC</t>
    <phoneticPr fontId="1" type="noConversion"/>
  </si>
  <si>
    <t>GRM188R71E474KA12D</t>
  </si>
  <si>
    <t>CL10B474KA8NNNC</t>
    <phoneticPr fontId="1" type="noConversion"/>
  </si>
  <si>
    <t>GRM188R71H122KA01D</t>
  </si>
  <si>
    <t>CL10B122KB8NNNC</t>
    <phoneticPr fontId="1" type="noConversion"/>
  </si>
  <si>
    <t>GRM188R71H224KAC4D</t>
  </si>
  <si>
    <t>CL10B224KB8NNNC</t>
    <phoneticPr fontId="1" type="noConversion"/>
  </si>
  <si>
    <t>GRM188R71H272KA01D</t>
  </si>
  <si>
    <t>CL10B272KB8NNNC</t>
    <phoneticPr fontId="1" type="noConversion"/>
  </si>
  <si>
    <t>GRM188R71H392KA01D</t>
  </si>
  <si>
    <t>CL10B392KB8NNNC</t>
    <phoneticPr fontId="1" type="noConversion"/>
  </si>
  <si>
    <t>GRM188R71H473KA61D</t>
  </si>
  <si>
    <t>CL10B473KB8NNNC</t>
    <phoneticPr fontId="1" type="noConversion"/>
  </si>
  <si>
    <t>GRM188R71H562KA01D</t>
  </si>
  <si>
    <t>CL10B562KB8NNNC</t>
    <phoneticPr fontId="1" type="noConversion"/>
  </si>
  <si>
    <t>GRM2165C1H101JA01D</t>
  </si>
  <si>
    <t>CL21C101JBANNNC</t>
  </si>
  <si>
    <t>0.6mm</t>
    <phoneticPr fontId="1" type="noConversion"/>
  </si>
  <si>
    <t>X7R</t>
    <phoneticPr fontId="1" type="noConversion"/>
  </si>
  <si>
    <t>GCJ188R71H103KA01D</t>
  </si>
  <si>
    <t>GCM188R71C474KA55D</t>
  </si>
  <si>
    <t>GCM188R71H104KA57D</t>
  </si>
  <si>
    <t>GCM188R71H224KA64D</t>
  </si>
  <si>
    <t>GCM188R71H682KA37D</t>
  </si>
  <si>
    <t>GCJ31CR71C475MA01L</t>
  </si>
  <si>
    <t>GCJ31CR71H225KA12L</t>
  </si>
  <si>
    <t>GCJ32EC71H106KA01L</t>
  </si>
  <si>
    <t>GCJ32EL81E475KA01L</t>
  </si>
  <si>
    <t>GCJ32ER71H475KA12L</t>
  </si>
  <si>
    <t>GCM188C71A225KE01D</t>
  </si>
  <si>
    <t>GCM188C71C105KA64D</t>
  </si>
  <si>
    <t>GCM188R70J225KE22D</t>
  </si>
  <si>
    <t>GCM188R71C105KA64D</t>
  </si>
  <si>
    <t>GCM188R71E105KA49D</t>
  </si>
  <si>
    <t>GCM188R71E105KA64D</t>
  </si>
  <si>
    <t>GCM21BC71A475KA73L</t>
  </si>
  <si>
    <t>GCM21BR70J106KE22L</t>
  </si>
  <si>
    <t>GCM21BR71A225KA37L</t>
  </si>
  <si>
    <t>GCM21BR71C225KA64L</t>
  </si>
  <si>
    <t>GCM21BR71C475KA73L</t>
  </si>
  <si>
    <t>GCM21BR71E225KA67L</t>
  </si>
  <si>
    <t>GCM21BR71E225KA73L</t>
  </si>
  <si>
    <t>GCM21BR71H105KA03L</t>
  </si>
  <si>
    <t>GCM21BR7YA105KA55L</t>
  </si>
  <si>
    <t>GCM31CC71E106KA03L</t>
  </si>
  <si>
    <t>GCM31CR70J226KE23L</t>
  </si>
  <si>
    <t>GCM31CR70J226ME23L</t>
  </si>
  <si>
    <t>GCM31CR71A106KA64L</t>
  </si>
  <si>
    <t>GCM31CR71C106MA64L</t>
  </si>
  <si>
    <t>GCM31CR71C475KA37L</t>
  </si>
  <si>
    <t>GCM31CR71E475KA55L</t>
  </si>
  <si>
    <t>GCM31CR71H225KA14L</t>
  </si>
  <si>
    <t>GCM31CR71H225KA55K</t>
  </si>
  <si>
    <t>GCM31MR71E105KA37K</t>
  </si>
  <si>
    <t>GCM31MR71E105KA37L</t>
  </si>
  <si>
    <t>GCM31MR71E225KA57L</t>
  </si>
  <si>
    <t>GCM31MR71H105KA55K</t>
  </si>
  <si>
    <t>GCM31MR71H105KA55L</t>
  </si>
  <si>
    <t>GCM32ER70J476KE19L</t>
  </si>
  <si>
    <t>GCM32ER70J476ME19L</t>
  </si>
  <si>
    <t>GCM32ER71C226KE19K</t>
  </si>
  <si>
    <t>GCM32ER71C226KE19L</t>
  </si>
  <si>
    <t>GCM32ER71C226ME19L</t>
  </si>
  <si>
    <t>GCM32ER71E106KA57K</t>
  </si>
  <si>
    <t>GCM32ER71E106KA57L</t>
  </si>
  <si>
    <t>GCM32ER71H475KA55K</t>
  </si>
  <si>
    <t>GCM32ER71H475KA55L</t>
  </si>
  <si>
    <t>2.5mm</t>
  </si>
  <si>
    <t>1.15mm</t>
  </si>
  <si>
    <t>EMK105BJ105KV-F</t>
  </si>
  <si>
    <t>JDK212BBJ476MD-T</t>
  </si>
  <si>
    <t>JMK105BJ475MV-FD</t>
  </si>
  <si>
    <t>X5R</t>
    <phoneticPr fontId="1" type="noConversion"/>
  </si>
  <si>
    <t>LDK063ABJ105MP-F</t>
  </si>
  <si>
    <t>CL10A475KP8NNN*</t>
  </si>
  <si>
    <t>LDK107BJ475KA-T</t>
  </si>
  <si>
    <t>LMK105BJ105KV-F</t>
  </si>
  <si>
    <t>TMK107ABJ225KA-T</t>
  </si>
  <si>
    <t>GRM033R60J474KE90D</t>
    <phoneticPr fontId="1" type="noConversion"/>
  </si>
  <si>
    <t>0.3mm</t>
    <phoneticPr fontId="1" type="noConversion"/>
  </si>
  <si>
    <t>GRM155R71C104KA88D</t>
  </si>
  <si>
    <t>GRM155R71E104KE14D</t>
  </si>
  <si>
    <t>GRM188R71A225KE15D</t>
  </si>
  <si>
    <t>JMK105BJ105KV-F</t>
    <phoneticPr fontId="1" type="noConversion"/>
  </si>
  <si>
    <t>GRM188R61E225KA12D</t>
    <phoneticPr fontId="1" type="noConversion"/>
  </si>
  <si>
    <t>GRM21BR61A106KE19L</t>
  </si>
  <si>
    <t>GCM155C71A105KE38D</t>
    <phoneticPr fontId="1" type="noConversion"/>
  </si>
  <si>
    <t>CL05A105KQ5NNNC</t>
    <phoneticPr fontId="1" type="noConversion"/>
  </si>
  <si>
    <t>CL05A105KO5NNNC</t>
    <phoneticPr fontId="1" type="noConversion"/>
  </si>
  <si>
    <t>CL05B104KA5NNNC</t>
  </si>
  <si>
    <t>Size L x Wmm (Inch)</t>
    <phoneticPr fontId="1" type="noConversion"/>
  </si>
  <si>
    <t>CL10A226MP8NUNE</t>
  </si>
  <si>
    <t>CL21A226MQQNNNE</t>
    <phoneticPr fontId="1" type="noConversion"/>
  </si>
  <si>
    <t xml:space="preserve">-55 to 125℃  </t>
  </si>
  <si>
    <t>±10 %</t>
    <phoneticPr fontId="1" type="noConversion"/>
  </si>
  <si>
    <t>±20 %</t>
    <phoneticPr fontId="1" type="noConversion"/>
  </si>
  <si>
    <t>CL10A106MP8NNNC</t>
  </si>
  <si>
    <t>CL21A226MAYNNNE</t>
  </si>
  <si>
    <t>±10 %</t>
    <phoneticPr fontId="1" type="noConversion"/>
  </si>
  <si>
    <t>CL21A476MQYNNNE</t>
  </si>
  <si>
    <t>GRM033C80G105ME05*</t>
    <phoneticPr fontId="1" type="noConversion"/>
  </si>
  <si>
    <t>JDK063BJ105MP-FD</t>
  </si>
  <si>
    <t>GRM155R61A475MEAA</t>
    <phoneticPr fontId="1" type="noConversion"/>
  </si>
  <si>
    <t>GRM155R60J475ME87</t>
    <phoneticPr fontId="1" type="noConversion"/>
  </si>
  <si>
    <t>GRM21BR61E106MA73</t>
  </si>
  <si>
    <t>GRM188R61A106KE69D</t>
    <phoneticPr fontId="1" type="noConversion"/>
  </si>
  <si>
    <t>GRM21BR61C106KE15</t>
    <phoneticPr fontId="1" type="noConversion"/>
  </si>
  <si>
    <t>EMK212BJ106KD-T</t>
    <phoneticPr fontId="1" type="noConversion"/>
  </si>
  <si>
    <t>GRM155R60J106ME05D</t>
    <phoneticPr fontId="1" type="noConversion"/>
  </si>
  <si>
    <t>JMK105CBJ106MV-F</t>
    <phoneticPr fontId="1" type="noConversion"/>
  </si>
  <si>
    <t>GRM155C71A105ME11D</t>
    <phoneticPr fontId="1" type="noConversion"/>
  </si>
  <si>
    <t>GRM0335C1H470JA01D</t>
  </si>
  <si>
    <t>GRM0335C1H101JA01D</t>
  </si>
  <si>
    <t>GRM033R71E103KE14D</t>
  </si>
  <si>
    <t>GRM033R71H391KA12D</t>
  </si>
  <si>
    <t>GRM0335C1H121JA01D</t>
  </si>
  <si>
    <t>GRM0335C1H181JA01D</t>
  </si>
  <si>
    <t>GRM0335C1H330JA01D</t>
  </si>
  <si>
    <t>±5 %</t>
    <phoneticPr fontId="1" type="noConversion"/>
  </si>
  <si>
    <t>±10 %</t>
    <phoneticPr fontId="1" type="noConversion"/>
  </si>
  <si>
    <t>50V</t>
    <phoneticPr fontId="1" type="noConversion"/>
  </si>
  <si>
    <t>25V</t>
    <phoneticPr fontId="1" type="noConversion"/>
  </si>
  <si>
    <t>GRM31CR71E106KA12L</t>
    <phoneticPr fontId="1" type="noConversion"/>
  </si>
  <si>
    <t>GRM155R61E104KA87D</t>
  </si>
  <si>
    <t>GRM155R61A225KE95D</t>
  </si>
  <si>
    <t>GRM033R60J224KE15D</t>
  </si>
  <si>
    <t>GRM21BR71E105KA99L</t>
  </si>
  <si>
    <t>GRM21BR71E475KA73L</t>
  </si>
  <si>
    <t>CL21B475KAFNNNE</t>
  </si>
  <si>
    <t>GDK105BJ105KV-F</t>
    <phoneticPr fontId="1" type="noConversion"/>
  </si>
  <si>
    <t>GRM155R70J105KA12D</t>
    <phoneticPr fontId="1" type="noConversion"/>
  </si>
  <si>
    <t>GRM21BR70J106KA73L</t>
    <phoneticPr fontId="1" type="noConversion"/>
  </si>
  <si>
    <t>GRM21BR71A106KA73L</t>
    <phoneticPr fontId="1" type="noConversion"/>
  </si>
  <si>
    <t>CL03A104KQ3NNNC</t>
    <phoneticPr fontId="1" type="noConversion"/>
  </si>
  <si>
    <t>6.3V</t>
    <phoneticPr fontId="1" type="noConversion"/>
  </si>
  <si>
    <t>CL03A104KP3NNNC</t>
    <phoneticPr fontId="1" type="noConversion"/>
  </si>
  <si>
    <t>10V</t>
    <phoneticPr fontId="1" type="noConversion"/>
  </si>
  <si>
    <t>GRM155C80J105KE***</t>
    <phoneticPr fontId="1" type="noConversion"/>
  </si>
  <si>
    <t>GRM155R60J105ME***</t>
    <phoneticPr fontId="1" type="noConversion"/>
  </si>
  <si>
    <t>GRM155R61A105ME***</t>
    <phoneticPr fontId="1" type="noConversion"/>
  </si>
  <si>
    <t>GRM155R61A105KE***</t>
    <phoneticPr fontId="1" type="noConversion"/>
  </si>
  <si>
    <t>CL05A225MQ5NSNC</t>
  </si>
  <si>
    <t>GRM155R60G106ME***</t>
    <phoneticPr fontId="1" type="noConversion"/>
  </si>
  <si>
    <t>GRM188R60J475KE***</t>
    <phoneticPr fontId="1" type="noConversion"/>
  </si>
  <si>
    <t>CL10A475KQ8NNN*</t>
  </si>
  <si>
    <t>GRM21BC81C106KE***</t>
    <phoneticPr fontId="1" type="noConversion"/>
  </si>
  <si>
    <t>GRM21BC81E106KE***</t>
    <phoneticPr fontId="1" type="noConversion"/>
  </si>
  <si>
    <t>GRM21BC81E106ME***</t>
    <phoneticPr fontId="1" type="noConversion"/>
  </si>
  <si>
    <t>CL05B104KO5NNNC</t>
    <phoneticPr fontId="1" type="noConversion"/>
  </si>
  <si>
    <t>0402B104K160CT</t>
    <phoneticPr fontId="1" type="noConversion"/>
  </si>
  <si>
    <t>0603B104K250CT</t>
    <phoneticPr fontId="1" type="noConversion"/>
  </si>
  <si>
    <t>0603X105K250CT</t>
    <phoneticPr fontId="1" type="noConversion"/>
  </si>
  <si>
    <t>0603X106M6R3CT</t>
    <phoneticPr fontId="1" type="noConversion"/>
  </si>
  <si>
    <t>CL21B104KBCNNNC</t>
  </si>
  <si>
    <t>0805B104K500CT</t>
    <phoneticPr fontId="1" type="noConversion"/>
  </si>
  <si>
    <t>0402B105K6R3CT</t>
    <phoneticPr fontId="1" type="noConversion"/>
  </si>
  <si>
    <t>GRM31CR61E226KE15L</t>
    <phoneticPr fontId="1" type="noConversion"/>
  </si>
  <si>
    <t>LMK212BBJ476MG</t>
    <phoneticPr fontId="1" type="noConversion"/>
  </si>
  <si>
    <t>Size L x Wmm (Inch)</t>
    <phoneticPr fontId="1" type="noConversion"/>
  </si>
  <si>
    <t>CM03X5R225M06AH</t>
  </si>
  <si>
    <t>0805X226M6R3CPIB</t>
    <phoneticPr fontId="1" type="noConversion"/>
  </si>
  <si>
    <t>0402X105K100CTNB</t>
    <phoneticPr fontId="1" type="noConversion"/>
  </si>
  <si>
    <t>±10 %</t>
    <phoneticPr fontId="1" type="noConversion"/>
  </si>
  <si>
    <t>庫存</t>
  </si>
  <si>
    <t>庫存</t>
    <phoneticPr fontId="1" type="noConversion"/>
  </si>
  <si>
    <t>GRM21BZ71C106KE15</t>
    <phoneticPr fontId="1" type="noConversion"/>
  </si>
  <si>
    <t>16V</t>
    <phoneticPr fontId="1" type="noConversion"/>
  </si>
  <si>
    <t>CL21B106KOQNNNE</t>
  </si>
  <si>
    <t>GRM155R71C104KA88D</t>
    <phoneticPr fontId="1" type="noConversion"/>
  </si>
  <si>
    <t>GCM31CR71C106KA64L</t>
    <phoneticPr fontId="1" type="noConversion"/>
  </si>
  <si>
    <t>GRM188R61E475KE11D</t>
    <phoneticPr fontId="1" type="noConversion"/>
  </si>
  <si>
    <t>CL31A476MQHNNNE</t>
    <phoneticPr fontId="1" type="noConversion"/>
  </si>
  <si>
    <t>6.3V</t>
    <phoneticPr fontId="1" type="noConversion"/>
  </si>
  <si>
    <t>CL32B226KAJNNNE</t>
    <phoneticPr fontId="1" type="noConversion"/>
  </si>
  <si>
    <t>25V</t>
    <phoneticPr fontId="1" type="noConversion"/>
  </si>
  <si>
    <t>CM03X5R225M06AH</t>
    <phoneticPr fontId="1" type="noConversion"/>
  </si>
  <si>
    <t>0.35mm</t>
    <phoneticPr fontId="1" type="noConversion"/>
  </si>
  <si>
    <t>0.39mm</t>
    <phoneticPr fontId="1" type="noConversion"/>
  </si>
  <si>
    <t>CM03X5R225K10AH</t>
    <phoneticPr fontId="1" type="noConversion"/>
  </si>
  <si>
    <t>0.55mm</t>
    <phoneticPr fontId="1" type="noConversion"/>
  </si>
  <si>
    <t>CM105X5R106M35AT</t>
    <phoneticPr fontId="1" type="noConversion"/>
  </si>
  <si>
    <t>X7S</t>
    <phoneticPr fontId="1" type="noConversion"/>
  </si>
  <si>
    <t>X6S</t>
    <phoneticPr fontId="1" type="noConversion"/>
  </si>
  <si>
    <t>GRM155C80J225ME95D</t>
    <phoneticPr fontId="1" type="noConversion"/>
  </si>
  <si>
    <t>GRM155C70J225ME11D</t>
    <phoneticPr fontId="1" type="noConversion"/>
  </si>
  <si>
    <t>25V</t>
    <phoneticPr fontId="1" type="noConversion"/>
  </si>
  <si>
    <t>GRM033R60J225ME47D</t>
    <phoneticPr fontId="1" type="noConversion"/>
  </si>
  <si>
    <t>TMK212BBJ106KG-T</t>
    <phoneticPr fontId="1" type="noConversion"/>
  </si>
  <si>
    <t>LMK107BJ106KALTD</t>
    <phoneticPr fontId="1" type="noConversion"/>
  </si>
  <si>
    <t>UMK325AB7106KM-P</t>
  </si>
  <si>
    <t>50V</t>
    <phoneticPr fontId="1" type="noConversion"/>
  </si>
  <si>
    <t>100V</t>
    <phoneticPr fontId="1" type="noConversion"/>
  </si>
  <si>
    <t>GRM155R71H104KE14D</t>
    <phoneticPr fontId="1" type="noConversion"/>
  </si>
  <si>
    <t>GRM155R60J225ME15D</t>
    <phoneticPr fontId="1" type="noConversion"/>
  </si>
  <si>
    <t>LMK105BJ225KV-F</t>
    <phoneticPr fontId="1" type="noConversion"/>
  </si>
  <si>
    <t>JDK107BBJ226MA-T</t>
  </si>
  <si>
    <t>GMK316BJ106KL-T</t>
    <phoneticPr fontId="1" type="noConversion"/>
  </si>
  <si>
    <t>35V</t>
    <phoneticPr fontId="1" type="noConversion"/>
  </si>
  <si>
    <t>1.6mm</t>
    <phoneticPr fontId="1" type="noConversion"/>
  </si>
  <si>
    <t>LMK063BJ104KP-F</t>
  </si>
  <si>
    <t>TMK063ABJ104KP-F</t>
  </si>
  <si>
    <t>JDK063ABJ105KP-F</t>
  </si>
  <si>
    <t>JMK063ABJ105MP-F</t>
  </si>
  <si>
    <t>JMK063BJ224KP-F</t>
  </si>
  <si>
    <t>JDK063ABJ225MP-F</t>
  </si>
  <si>
    <t>JMK105BJ225MV-F</t>
  </si>
  <si>
    <t>JMK105BBJ475MV-F</t>
  </si>
  <si>
    <t>JMK107BJ106MA-T</t>
  </si>
  <si>
    <t>CL10A225KP8NNNC</t>
  </si>
  <si>
    <t>10V</t>
    <phoneticPr fontId="1" type="noConversion"/>
  </si>
  <si>
    <t>LMK107BJ225KA-T</t>
  </si>
  <si>
    <t>JMK107BJ475KA-T</t>
  </si>
  <si>
    <t>GRM188R61E106MA73D</t>
    <phoneticPr fontId="1" type="noConversion"/>
  </si>
  <si>
    <t>EMK107B7105KA-T</t>
  </si>
  <si>
    <t>TMK107B7105KA-T</t>
  </si>
  <si>
    <t>TMK107BBJ106MA-T</t>
  </si>
  <si>
    <t>CL10A106MA8NRNC</t>
  </si>
  <si>
    <t>LMK316 BJ226ML-T</t>
  </si>
  <si>
    <t>EMK325BJ226KM-T</t>
  </si>
  <si>
    <t>TMK325B7226KM-TR</t>
  </si>
  <si>
    <t>GRM31CR71C106KAC7L</t>
    <phoneticPr fontId="1" type="noConversion"/>
  </si>
  <si>
    <t>GRM21BR60J107ME15L</t>
    <phoneticPr fontId="1" type="noConversion"/>
  </si>
  <si>
    <t>6.3V</t>
    <phoneticPr fontId="1" type="noConversion"/>
  </si>
  <si>
    <t>GRM188R60J106ME47J</t>
  </si>
  <si>
    <t>GRM155R61E105KE11D</t>
  </si>
  <si>
    <t>GRM21BR61E226ME44K</t>
  </si>
  <si>
    <t>GRM155R60J225ME95D</t>
  </si>
  <si>
    <t>GRM153R60J225ME95D</t>
    <phoneticPr fontId="1" type="noConversion"/>
  </si>
  <si>
    <t>GRM21BR60J226ME39L</t>
  </si>
  <si>
    <t>GRM31CR61E106KA12L</t>
  </si>
  <si>
    <t>GRM219R61E475KA73D</t>
  </si>
  <si>
    <t>GRM31CR60J476KE19L</t>
  </si>
  <si>
    <t>GRM21BR71E475KA73K</t>
  </si>
  <si>
    <t>GRM31CR60J107ME39L</t>
    <phoneticPr fontId="1" type="noConversion"/>
  </si>
  <si>
    <t>CL31A107MQHNNNE</t>
  </si>
  <si>
    <t>CL05A105KP5NNNC</t>
    <phoneticPr fontId="1" type="noConversion"/>
  </si>
  <si>
    <t>GRM155R61A105KE15D</t>
  </si>
  <si>
    <t>35V</t>
    <phoneticPr fontId="1" type="noConversion"/>
  </si>
  <si>
    <t>GRM155R6YA105KE11D</t>
  </si>
  <si>
    <t>GRM155R60J105KE19D</t>
  </si>
  <si>
    <t>GRM188R71H104KA93D</t>
  </si>
  <si>
    <t>CL21A226MPCLRNC</t>
  </si>
  <si>
    <t>CL05A105MP5NNNC</t>
    <phoneticPr fontId="1" type="noConversion"/>
  </si>
  <si>
    <t>CL05A105MO5NNNC</t>
    <phoneticPr fontId="1" type="noConversion"/>
  </si>
  <si>
    <t>CL03A105MO3NRNC</t>
  </si>
  <si>
    <t>CL03A105MR3CSNC</t>
  </si>
  <si>
    <t>CL03A474KQ3NNNC</t>
  </si>
  <si>
    <t>CL05A225KO5NQNC</t>
  </si>
  <si>
    <t>CL05A475MO5NUNC</t>
  </si>
  <si>
    <t>CL10A106KO8NQNC</t>
  </si>
  <si>
    <t>CL10A106MO8NQNC</t>
  </si>
  <si>
    <t>CL10A106MQ8NNNC</t>
  </si>
  <si>
    <t>CL10A225KB8NNNC</t>
  </si>
  <si>
    <t>CL10A225KQ8NNNC</t>
  </si>
  <si>
    <t>CL10A225MQ8NNNC</t>
  </si>
  <si>
    <t>CL10A475MP8NNNC</t>
  </si>
  <si>
    <t>CL10A475KP8NNNC</t>
  </si>
  <si>
    <t>CL10A475KQ8NNNC</t>
  </si>
  <si>
    <t>CL10A475MQ8NNNC</t>
  </si>
  <si>
    <t>CL21A106KOCLRNC</t>
  </si>
  <si>
    <t>CL21A475KACLRNC</t>
  </si>
  <si>
    <t>CL21A476MRYNNNE</t>
  </si>
  <si>
    <t>CL21A476MQCLRNC</t>
  </si>
  <si>
    <t>CL31A226MPHNNNE</t>
  </si>
  <si>
    <t>CL32A226KOJNNNE</t>
  </si>
  <si>
    <t>CL32A476KOJNNNE</t>
  </si>
  <si>
    <t>CL10B105KO8NNNC</t>
  </si>
  <si>
    <t>CL21B225KPFNNNE</t>
  </si>
  <si>
    <t>CL10B474KO8NNNC</t>
  </si>
  <si>
    <t>CL21B106KPQNNNE</t>
  </si>
  <si>
    <t>CL21B106KQQNNNE</t>
  </si>
  <si>
    <t>CL32B106KBJNNNE</t>
  </si>
  <si>
    <t>GRM32ER72A225KA35L</t>
    <phoneticPr fontId="1" type="noConversion"/>
  </si>
  <si>
    <t>CL05A225KQ5NSNC</t>
  </si>
  <si>
    <t>CL10A476MQ8QRNC</t>
  </si>
  <si>
    <t>CL10A476MR8NZNE</t>
  </si>
  <si>
    <t>GRM188R61A106ME69D</t>
    <phoneticPr fontId="1" type="noConversion"/>
  </si>
  <si>
    <t>CL21A226MPQNNNE</t>
  </si>
  <si>
    <t>GRM21BR61A226ME51L</t>
  </si>
  <si>
    <t>GRM31CR61A476ME15</t>
  </si>
  <si>
    <t>±20 %</t>
    <phoneticPr fontId="1" type="noConversion"/>
  </si>
  <si>
    <t>CL31A476MPHNNNE</t>
    <phoneticPr fontId="1" type="noConversion"/>
  </si>
  <si>
    <t>GRM033R60J105MEA2D</t>
    <phoneticPr fontId="1" type="noConversion"/>
  </si>
  <si>
    <t>EMK107BJ225KA-T</t>
  </si>
  <si>
    <t>JMK212BJ226MG-T</t>
  </si>
  <si>
    <t>CL10X106MR8NNNC</t>
  </si>
  <si>
    <t>CL21X226MRQNNNE</t>
  </si>
  <si>
    <t>CL10X475MQ8NNNC</t>
  </si>
  <si>
    <t>GRM188R60J226MEA0D</t>
    <phoneticPr fontId="1" type="noConversion"/>
  </si>
  <si>
    <t>UMK107AB7105KA-T</t>
    <phoneticPr fontId="1" type="noConversion"/>
  </si>
  <si>
    <t>ADK107BBJ476MA-R</t>
    <phoneticPr fontId="1" type="noConversion"/>
  </si>
  <si>
    <t> GRM0335C1H470JA01D </t>
  </si>
  <si>
    <t> GRM0335C1H101JA01D </t>
  </si>
  <si>
    <t> GRM033R71E103KE14D </t>
  </si>
  <si>
    <t> GRM033R71H391KA12D </t>
  </si>
  <si>
    <t> GRM0335C1H121JA01D </t>
  </si>
  <si>
    <t> GRM0335C1H181JA01D </t>
  </si>
  <si>
    <t> GRM0335C1H330JA01D </t>
  </si>
  <si>
    <t>CL03C470JB3NNNC</t>
  </si>
  <si>
    <t>CL03C101JB3NNNC</t>
  </si>
  <si>
    <t>CL03C330JB3NNNC</t>
  </si>
  <si>
    <t>GRM033R60J104KE19D</t>
  </si>
  <si>
    <t>LMK105BBJ475MVLF</t>
  </si>
  <si>
    <t>CL05A475MP5NRNC</t>
  </si>
  <si>
    <t>LMK107BBJ106MALT</t>
  </si>
  <si>
    <t>GRM188R61H105KAALD</t>
  </si>
  <si>
    <t>CL10A105KB8NNNC</t>
  </si>
  <si>
    <t>TMK107BJ105KA-T</t>
  </si>
  <si>
    <t>UMK212ABJ105KD-T</t>
  </si>
  <si>
    <t>CL21A105KBCLNNC</t>
  </si>
  <si>
    <t>UMK212B7105KG-T</t>
  </si>
  <si>
    <t>GRM21BC81E106KE11L</t>
    <phoneticPr fontId="1" type="noConversion"/>
  </si>
  <si>
    <t>GRM21BC81C226ME44L</t>
    <phoneticPr fontId="1" type="noConversion"/>
  </si>
  <si>
    <t>X6S</t>
    <phoneticPr fontId="1" type="noConversion"/>
  </si>
  <si>
    <t>GRM155C81C105KE11#</t>
    <phoneticPr fontId="1" type="noConversion"/>
  </si>
  <si>
    <t>GRM188C80J226ME15FD</t>
    <phoneticPr fontId="1" type="noConversion"/>
  </si>
  <si>
    <t>GRM033C81E105KE14#</t>
    <phoneticPr fontId="1" type="noConversion"/>
  </si>
  <si>
    <t>25V</t>
    <phoneticPr fontId="1" type="noConversion"/>
  </si>
  <si>
    <t>16V</t>
    <phoneticPr fontId="1" type="noConversion"/>
  </si>
  <si>
    <t>6.3V</t>
    <phoneticPr fontId="1" type="noConversion"/>
  </si>
  <si>
    <t>1.25mm</t>
    <phoneticPr fontId="1" type="noConversion"/>
  </si>
  <si>
    <t>05mm</t>
    <phoneticPr fontId="1" type="noConversion"/>
  </si>
  <si>
    <t>0.8mm</t>
    <phoneticPr fontId="1" type="noConversion"/>
  </si>
  <si>
    <t>0.3mm</t>
    <phoneticPr fontId="1" type="noConversion"/>
  </si>
  <si>
    <t>GRM155R61A475KEAAD </t>
  </si>
  <si>
    <t>GRM219R61A226MEA0D</t>
  </si>
  <si>
    <t>GRM21BR61E475KA12L </t>
  </si>
  <si>
    <t>CL31A106KBHNNNE</t>
  </si>
  <si>
    <t>CM05X5R225M35AH</t>
    <phoneticPr fontId="1" type="noConversion"/>
  </si>
  <si>
    <t>JMK105BJ475MV-FD</t>
    <phoneticPr fontId="1" type="noConversion"/>
  </si>
  <si>
    <t>GRM31CR61H106KA12L </t>
    <phoneticPr fontId="1" type="noConversion"/>
  </si>
  <si>
    <t>GRM21BR61H106KE43L</t>
    <phoneticPr fontId="1" type="noConversion"/>
  </si>
  <si>
    <t>TAIYO</t>
  </si>
  <si>
    <r>
      <rPr>
        <sz val="12"/>
        <color theme="1"/>
        <rFont val="新細明體"/>
        <family val="2"/>
        <charset val="136"/>
      </rPr>
      <t>尺寸</t>
    </r>
  </si>
  <si>
    <r>
      <rPr>
        <sz val="12"/>
        <color theme="1"/>
        <rFont val="新細明體"/>
        <family val="2"/>
        <charset val="136"/>
      </rPr>
      <t>厚度</t>
    </r>
  </si>
  <si>
    <r>
      <rPr>
        <sz val="12"/>
        <color theme="1"/>
        <rFont val="新細明體"/>
        <family val="2"/>
        <charset val="136"/>
      </rPr>
      <t>材質</t>
    </r>
  </si>
  <si>
    <r>
      <rPr>
        <sz val="12"/>
        <color theme="1"/>
        <rFont val="新細明體"/>
        <family val="2"/>
        <charset val="136"/>
      </rPr>
      <t>溫度係數</t>
    </r>
  </si>
  <si>
    <r>
      <rPr>
        <sz val="12"/>
        <color theme="1"/>
        <rFont val="新細明體"/>
        <family val="2"/>
        <charset val="136"/>
      </rPr>
      <t>容質</t>
    </r>
  </si>
  <si>
    <r>
      <rPr>
        <sz val="12"/>
        <color theme="1"/>
        <rFont val="新細明體"/>
        <family val="2"/>
        <charset val="136"/>
      </rPr>
      <t>精度</t>
    </r>
  </si>
  <si>
    <r>
      <rPr>
        <sz val="12"/>
        <color theme="1"/>
        <rFont val="新細明體"/>
        <family val="2"/>
        <charset val="136"/>
      </rPr>
      <t>耐壓</t>
    </r>
  </si>
  <si>
    <t>GRM033R61A224KE90D</t>
    <phoneticPr fontId="1" type="noConversion"/>
  </si>
  <si>
    <t>GRM033R61A105ME44D</t>
    <phoneticPr fontId="1" type="noConversion"/>
  </si>
  <si>
    <t>GRM033R61A225KE47D</t>
    <phoneticPr fontId="1" type="noConversion"/>
  </si>
  <si>
    <t>GRM155R61H105KE05D</t>
    <phoneticPr fontId="1" type="noConversion"/>
  </si>
  <si>
    <t>GRM155R61E225KE11D</t>
    <phoneticPr fontId="1" type="noConversion"/>
  </si>
  <si>
    <t>JMK105CBJ106MV-F</t>
  </si>
  <si>
    <t>GRM155R60J226ME69D</t>
    <phoneticPr fontId="1" type="noConversion"/>
  </si>
  <si>
    <t>GRM188R61H225KE11D</t>
    <phoneticPr fontId="1" type="noConversion"/>
  </si>
  <si>
    <t>GRM21BR71H105KA12L</t>
    <phoneticPr fontId="1" type="noConversion"/>
  </si>
  <si>
    <t>  </t>
  </si>
  <si>
    <t>    </t>
  </si>
  <si>
    <t>GRM21BR61H475KE51L</t>
    <phoneticPr fontId="1" type="noConversion"/>
  </si>
  <si>
    <t>GRM21BR61A476ME15L</t>
    <phoneticPr fontId="1" type="noConversion"/>
  </si>
  <si>
    <t>LMK212BBJ476MG</t>
  </si>
  <si>
    <t>GRM31CR71H475KA12L</t>
    <phoneticPr fontId="1" type="noConversion"/>
  </si>
  <si>
    <t>GRM31CR71A226KE15L</t>
    <phoneticPr fontId="1" type="noConversion"/>
  </si>
  <si>
    <t>GRM32DR71E106KA12L</t>
    <phoneticPr fontId="1" type="noConversion"/>
  </si>
  <si>
    <t>GRM32ER61C476KE15L</t>
    <phoneticPr fontId="1" type="noConversion"/>
  </si>
  <si>
    <t>CL21A226MAYNNNE</t>
    <phoneticPr fontId="1" type="noConversion"/>
  </si>
  <si>
    <t>GRM21BR61E226ME44L</t>
    <phoneticPr fontId="1" type="noConversion"/>
  </si>
  <si>
    <t>TMK212BBJ226MG-T</t>
    <phoneticPr fontId="1" type="noConversion"/>
  </si>
  <si>
    <t>GRM1555C1H121JA01D</t>
  </si>
  <si>
    <t>COG</t>
    <phoneticPr fontId="1" type="noConversion"/>
  </si>
  <si>
    <t>CL05C121JB5NNNC</t>
    <phoneticPr fontId="1" type="noConversion"/>
  </si>
  <si>
    <t>GRM1555C1H151JA01D</t>
    <phoneticPr fontId="1" type="noConversion"/>
  </si>
  <si>
    <t>CL05C151JB5NNNC</t>
    <phoneticPr fontId="1" type="noConversion"/>
  </si>
  <si>
    <t>GRM1555C1H1R4WA01D</t>
    <phoneticPr fontId="1" type="noConversion"/>
  </si>
  <si>
    <t>1.4pF</t>
    <phoneticPr fontId="1" type="noConversion"/>
  </si>
  <si>
    <t xml:space="preserve">	±0.05pF</t>
    <phoneticPr fontId="1" type="noConversion"/>
  </si>
  <si>
    <t>GRM1555C1H221JA01D</t>
    <phoneticPr fontId="1" type="noConversion"/>
  </si>
  <si>
    <t>CL05C221JB5NNNC</t>
    <phoneticPr fontId="1" type="noConversion"/>
  </si>
  <si>
    <t>GRM1555C1H471JA01D</t>
    <phoneticPr fontId="1" type="noConversion"/>
  </si>
  <si>
    <t>CL05C471JB5NNNC</t>
    <phoneticPr fontId="1" type="noConversion"/>
  </si>
  <si>
    <t>GRM1555C1H561JA01D</t>
    <phoneticPr fontId="1" type="noConversion"/>
  </si>
  <si>
    <t>CL05C561JB5NNNC</t>
    <phoneticPr fontId="1" type="noConversion"/>
  </si>
  <si>
    <t>GRM1555C1HR80BA01D</t>
    <phoneticPr fontId="1" type="noConversion"/>
  </si>
  <si>
    <t>0.8pF</t>
    <phoneticPr fontId="1" type="noConversion"/>
  </si>
  <si>
    <t>±0.1pF</t>
    <phoneticPr fontId="1" type="noConversion"/>
  </si>
  <si>
    <t>GRM155R71E223KA61D</t>
  </si>
  <si>
    <t>CL05B223KA5NNNC</t>
    <phoneticPr fontId="1" type="noConversion"/>
  </si>
  <si>
    <t>GRM155R71H223KA12D</t>
    <phoneticPr fontId="1" type="noConversion"/>
  </si>
  <si>
    <t>CL05B223KB5NNNC</t>
    <phoneticPr fontId="1" type="noConversion"/>
  </si>
  <si>
    <t>GRM155R71H333KE14D</t>
  </si>
  <si>
    <t>GRM155R71H473KE14D</t>
  </si>
  <si>
    <t>GRM1885C1H332JA01D</t>
  </si>
  <si>
    <t>GRM188R71H222KA01D</t>
  </si>
  <si>
    <t>GRM188R71H472KA01D</t>
  </si>
  <si>
    <t>JMK107BJ226MA-TD</t>
  </si>
  <si>
    <t>CL10C332JB8NNNC</t>
    <phoneticPr fontId="1" type="noConversion"/>
  </si>
  <si>
    <t>CL10B222KB8NNNC</t>
    <phoneticPr fontId="1" type="noConversion"/>
  </si>
  <si>
    <t>CL10B472KB8NNNC</t>
    <phoneticPr fontId="1" type="noConversion"/>
  </si>
  <si>
    <t>6.3V</t>
    <phoneticPr fontId="1" type="noConversion"/>
  </si>
  <si>
    <t>CL10A226MQ8NRNC</t>
    <phoneticPr fontId="1" type="noConversion"/>
  </si>
  <si>
    <t>CT05X5R475M06AH033</t>
  </si>
  <si>
    <t>GRM0335C1H2R0BA01D</t>
  </si>
  <si>
    <t>GRM0335C1H4R7BA01D</t>
  </si>
  <si>
    <t>COG</t>
  </si>
  <si>
    <t>2R0</t>
    <phoneticPr fontId="1" type="noConversion"/>
  </si>
  <si>
    <t>4R7</t>
    <phoneticPr fontId="1" type="noConversion"/>
  </si>
  <si>
    <t>GRM1555C1H1R0BA01D</t>
  </si>
  <si>
    <t>GRM1555C1HR50BA01D</t>
  </si>
  <si>
    <t>GRM1555C1HR75BA01D</t>
  </si>
  <si>
    <t>1R0</t>
    <phoneticPr fontId="1" type="noConversion"/>
  </si>
  <si>
    <t>R50</t>
    <phoneticPr fontId="1" type="noConversion"/>
  </si>
  <si>
    <t>R75</t>
    <phoneticPr fontId="1" type="noConversion"/>
  </si>
  <si>
    <t>CL10B104KB8NNNC</t>
    <phoneticPr fontId="1" type="noConversion"/>
  </si>
  <si>
    <t>0603N220J500CT</t>
    <phoneticPr fontId="1" type="noConversion"/>
  </si>
  <si>
    <t>GRM21BR61E106KA73L</t>
    <phoneticPr fontId="1" type="noConversion"/>
  </si>
  <si>
    <t>ADK107BBJ476MA-R</t>
    <phoneticPr fontId="1" type="noConversion"/>
  </si>
  <si>
    <t>CC0402KRX7R8BB104</t>
    <phoneticPr fontId="1" type="noConversion"/>
  </si>
  <si>
    <t> GRM0335C1H101JA01D </t>
    <phoneticPr fontId="1" type="noConversion"/>
  </si>
  <si>
    <t>CL05A226MQ5QUNC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</si>
</sst>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26" formatCode="&quot;US$&quot;#,##0.00_);[Red]\(&quot;US$&quot;#,##0.00\)"/>
    <numFmt numFmtId="176" formatCode="_-* #,##0.00000_-;\-* #,##0.00000_-;_-* &quot;-&quot;??_-;_-@_-"/>
    <numFmt numFmtId="177" formatCode="_-* #,##0.0000_-;\-* #,##0.0000_-;_-* &quot;-&quot;??_-;_-@_-"/>
    <numFmt numFmtId="178" formatCode="_-&quot;US$&quot;* #,##0.00_ ;_-&quot;US$&quot;* \-#,##0.00\ ;_-&quot;US$&quot;* &quot;-&quot;??_ ;_-@_ "/>
    <numFmt numFmtId="179" formatCode="&quot;US$&quot;#,##0.00"/>
    <numFmt numFmtId="180" formatCode="&quot;US$&quot;#,##0.00000"/>
  </numFmts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標楷體"/>
      <family val="4"/>
      <charset val="136"/>
    </font>
    <font>
      <sz val="10"/>
      <color rgb="FFFF0000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sz val="10"/>
      <color rgb="FFFFFF00"/>
      <name val="標楷體"/>
      <family val="4"/>
      <charset val="136"/>
    </font>
    <font>
      <sz val="11"/>
      <color rgb="FF000000"/>
      <name val="宋体"/>
      <family val="3"/>
      <charset val="136"/>
    </font>
    <font>
      <sz val="10"/>
      <color rgb="FF00B0F0"/>
      <name val="標楷體"/>
      <family val="4"/>
      <charset val="136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left" vertical="center" shrinkToFit="1"/>
    </xf>
    <xf numFmtId="0" fontId="2" fillId="4" borderId="1" xfId="0" applyFont="1" applyFill="1" applyBorder="1" applyAlignment="1">
      <alignment horizontal="center" vertical="center" wrapText="1" shrinkToFit="1"/>
    </xf>
    <xf numFmtId="0" fontId="2" fillId="4" borderId="1" xfId="0" quotePrefix="1" applyFont="1" applyFill="1" applyBorder="1" applyAlignment="1">
      <alignment horizontal="left" vertical="center" shrinkToFit="1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shrinkToFit="1"/>
    </xf>
    <xf numFmtId="9" fontId="2" fillId="2" borderId="1" xfId="0" quotePrefix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43" fontId="2" fillId="2" borderId="1" xfId="1" applyFont="1" applyFill="1" applyBorder="1">
      <alignment vertical="center"/>
    </xf>
    <xf numFmtId="176" fontId="2" fillId="4" borderId="1" xfId="1" applyNumberFormat="1" applyFont="1" applyFill="1" applyBorder="1" applyAlignment="1">
      <alignment vertical="center"/>
    </xf>
    <xf numFmtId="9" fontId="2" fillId="4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shrinkToFit="1"/>
    </xf>
    <xf numFmtId="0" fontId="2" fillId="4" borderId="1" xfId="0" quotePrefix="1" applyFont="1" applyFill="1" applyBorder="1" applyAlignment="1">
      <alignment horizontal="left" vertical="center"/>
    </xf>
    <xf numFmtId="0" fontId="2" fillId="2" borderId="1" xfId="0" quotePrefix="1" applyFont="1" applyFill="1" applyBorder="1" applyAlignment="1">
      <alignment horizontal="left" vertical="center"/>
    </xf>
    <xf numFmtId="177" fontId="2" fillId="3" borderId="1" xfId="1" applyNumberFormat="1" applyFont="1" applyFill="1" applyBorder="1" applyAlignment="1">
      <alignment horizontal="center" vertical="center" shrinkToFit="1"/>
    </xf>
    <xf numFmtId="177" fontId="2" fillId="4" borderId="1" xfId="1" applyNumberFormat="1" applyFont="1" applyFill="1" applyBorder="1" applyAlignment="1">
      <alignment vertical="center"/>
    </xf>
    <xf numFmtId="177" fontId="2" fillId="4" borderId="1" xfId="1" applyNumberFormat="1" applyFont="1" applyFill="1" applyBorder="1" applyAlignment="1">
      <alignment horizontal="center" vertical="center" shrinkToFit="1"/>
    </xf>
    <xf numFmtId="177" fontId="2" fillId="3" borderId="0" xfId="1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shrinkToFit="1"/>
    </xf>
    <xf numFmtId="0" fontId="2" fillId="5" borderId="1" xfId="0" applyFont="1" applyFill="1" applyBorder="1" applyAlignment="1">
      <alignment horizontal="left" vertical="center" shrinkToFit="1"/>
    </xf>
    <xf numFmtId="0" fontId="2" fillId="5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left" vertical="center"/>
    </xf>
    <xf numFmtId="9" fontId="2" fillId="5" borderId="1" xfId="0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 shrinkToFit="1"/>
    </xf>
    <xf numFmtId="0" fontId="2" fillId="5" borderId="1" xfId="0" quotePrefix="1" applyFont="1" applyFill="1" applyBorder="1" applyAlignment="1">
      <alignment horizontal="left" vertical="center" shrinkToFit="1"/>
    </xf>
    <xf numFmtId="0" fontId="5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9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43" fontId="2" fillId="3" borderId="1" xfId="1" applyFont="1" applyFill="1" applyBorder="1">
      <alignment vertical="center"/>
    </xf>
    <xf numFmtId="178" fontId="2" fillId="3" borderId="1" xfId="1" applyNumberFormat="1" applyFont="1" applyFill="1" applyBorder="1">
      <alignment vertical="center"/>
    </xf>
    <xf numFmtId="179" fontId="2" fillId="4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1" applyNumberFormat="1" applyFont="1" applyFill="1" applyBorder="1" applyAlignment="1">
      <alignment horizontal="center" vertical="center" shrinkToFit="1"/>
    </xf>
    <xf numFmtId="0" fontId="2" fillId="3" borderId="1" xfId="0" quotePrefix="1" applyFont="1" applyFill="1" applyBorder="1" applyAlignment="1">
      <alignment horizontal="center" vertical="center"/>
    </xf>
    <xf numFmtId="176" fontId="2" fillId="3" borderId="1" xfId="1" applyNumberFormat="1" applyFont="1" applyFill="1" applyBorder="1" applyAlignment="1">
      <alignment vertical="center"/>
    </xf>
    <xf numFmtId="176" fontId="2" fillId="4" borderId="1" xfId="1" applyNumberFormat="1" applyFont="1" applyFill="1" applyBorder="1" applyAlignment="1">
      <alignment horizontal="center" vertical="center" shrinkToFit="1"/>
    </xf>
    <xf numFmtId="26" fontId="2" fillId="4" borderId="1" xfId="1" applyNumberFormat="1" applyFont="1" applyFill="1" applyBorder="1" applyAlignment="1">
      <alignment vertical="center"/>
    </xf>
    <xf numFmtId="26" fontId="2" fillId="4" borderId="1" xfId="0" applyNumberFormat="1" applyFont="1" applyFill="1" applyBorder="1">
      <alignment vertical="center"/>
    </xf>
    <xf numFmtId="179" fontId="2" fillId="4" borderId="1" xfId="0" applyNumberFormat="1" applyFont="1" applyFill="1" applyBorder="1">
      <alignment vertical="center"/>
    </xf>
    <xf numFmtId="177" fontId="2" fillId="3" borderId="1" xfId="1" applyNumberFormat="1" applyFont="1" applyFill="1" applyBorder="1" applyAlignment="1">
      <alignment vertical="center"/>
    </xf>
    <xf numFmtId="26" fontId="2" fillId="3" borderId="1" xfId="0" applyNumberFormat="1" applyFont="1" applyFill="1" applyBorder="1">
      <alignment vertical="center"/>
    </xf>
    <xf numFmtId="180" fontId="2" fillId="4" borderId="1" xfId="0" applyNumberFormat="1" applyFont="1" applyFill="1" applyBorder="1">
      <alignment vertical="center"/>
    </xf>
    <xf numFmtId="3" fontId="2" fillId="4" borderId="1" xfId="0" applyNumberFormat="1" applyFont="1" applyFill="1" applyBorder="1" applyAlignment="1">
      <alignment horizontal="center" vertical="center"/>
    </xf>
    <xf numFmtId="43" fontId="2" fillId="4" borderId="1" xfId="1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d%20Wu/Desktop/&#34987;&#21205;&#20803;&#22120;&#20214;&#38656;&#27714;&#35215;&#26684;&#26371;&#3231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CC"/>
      <sheetName val="工作表1"/>
    </sheetNames>
    <sheetDataSet>
      <sheetData sheetId="0">
        <row r="1941">
          <cell r="N1941"/>
          <cell r="O1941"/>
          <cell r="P1941" t="str">
            <v>CL32B335KBJNNWE</v>
          </cell>
        </row>
        <row r="1942">
          <cell r="N1942"/>
          <cell r="O1942"/>
          <cell r="P1942" t="str">
            <v>CL32B335KBJNNWE</v>
          </cell>
        </row>
        <row r="1943">
          <cell r="N1943"/>
          <cell r="O1943"/>
          <cell r="P1943" t="str">
            <v>CL32B475KBUYNNE</v>
          </cell>
        </row>
        <row r="1944">
          <cell r="N1944" t="str">
            <v>GRM32ER61C476KE15L</v>
          </cell>
          <cell r="O1944"/>
          <cell r="P1944" t="str">
            <v>CL32A476KOJNNNE</v>
          </cell>
        </row>
        <row r="1945">
          <cell r="N1945"/>
          <cell r="O1945"/>
          <cell r="P1945" t="str">
            <v>CL32B476MPJNNNE</v>
          </cell>
        </row>
        <row r="1946">
          <cell r="N1946"/>
          <cell r="O1946"/>
          <cell r="P1946" t="str">
            <v>CL32A476KPJNNNE</v>
          </cell>
        </row>
        <row r="1947">
          <cell r="N1947"/>
          <cell r="O1947"/>
          <cell r="P1947" t="str">
            <v>CL32A476KPJNNNE</v>
          </cell>
        </row>
        <row r="1948">
          <cell r="N1948" t="str">
            <v>GRM32ER61C476KE15L</v>
          </cell>
          <cell r="O1948"/>
          <cell r="P1948" t="str">
            <v>CL32A476KOJNNNE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志祥 吳" id="{16CE82BB-5554-4883-992D-E856DD46CC1E}" userId="37ad546232548462" providerId="Windows Live"/>
</personList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" dT="2020-01-14T08:20:45.70" personId="{16CE82BB-5554-4883-992D-E856DD46CC1E}" id="{AF9D09E8-227B-465A-9B8B-510F71F48D93}">
    <text>Derating1。 Measure capacitance after heat treatment。 Only for mobile devices</text>
  </threadedComment>
  <threadedComment ref="C176" dT="2020-03-02T03:34:17.44" personId="{16CE82BB-5554-4883-992D-E856DD46CC1E}" id="{26422542-993B-41E8-B485-6DDACE2D6460}">
    <text>車規品</text>
  </threadedComment>
  <threadedComment ref="C177" dT="2020-03-02T03:34:17.44" personId="{16CE82BB-5554-4883-992D-E856DD46CC1E}" id="{51866A5D-5769-49DC-877D-72ACE71B6E1C}">
    <text>車規品</text>
  </threadedComment>
  <threadedComment ref="C179" dT="2020-03-02T03:34:17.44" personId="{16CE82BB-5554-4883-992D-E856DD46CC1E}" id="{8C2A9184-4CE8-47E4-BEC0-C22E86A98F44}">
    <text>車規品</text>
  </threadedComment>
  <threadedComment ref="C180" dT="2020-03-02T03:34:17.44" personId="{16CE82BB-5554-4883-992D-E856DD46CC1E}" id="{51957284-25B6-4E77-990B-09DB3AD5228E}">
    <text>車規品</text>
  </threadedComment>
  <threadedComment ref="C183" dT="2020-03-02T03:34:17.44" personId="{16CE82BB-5554-4883-992D-E856DD46CC1E}" id="{244EE3C3-284B-4EC2-92D0-E84107940477}">
    <text>車規品</text>
  </threadedComment>
  <threadedComment ref="C184" dT="2020-03-02T03:34:17.44" personId="{16CE82BB-5554-4883-992D-E856DD46CC1E}" id="{C249D81D-E3F9-4150-8C14-A39B32781E27}">
    <text>車規品</text>
  </threadedComment>
  <threadedComment ref="C227" dT="2020-03-02T03:34:17.44" personId="{16CE82BB-5554-4883-992D-E856DD46CC1E}" id="{7823C288-4283-40F2-BFCA-7196F90840EC}">
    <text>車規品</text>
  </threadedComment>
  <threadedComment ref="C234" dT="2020-03-02T03:34:17.44" personId="{16CE82BB-5554-4883-992D-E856DD46CC1E}" id="{B831949B-1902-4E5C-B9F6-4D96BC63F906}">
    <text>車規品</text>
  </threadedComment>
  <threadedComment ref="C242" dT="2020-03-02T03:34:17.44" personId="{16CE82BB-5554-4883-992D-E856DD46CC1E}" id="{1CA1EE58-1027-43D6-9CDE-70958A3328BB}">
    <text>車規品</text>
  </threadedComment>
  <threadedComment ref="C272" dT="2020-03-02T03:34:17.44" personId="{16CE82BB-5554-4883-992D-E856DD46CC1E}" id="{F84EA75D-C8D9-409A-8253-164D0C38733A}">
    <text>車規品</text>
  </threadedComment>
  <threadedComment ref="C288" dT="2020-03-02T03:34:17.44" personId="{16CE82BB-5554-4883-992D-E856DD46CC1E}" id="{9D75D3D5-B5EA-4F68-BF4C-457C23C7411A}">
    <text>車規品</text>
  </threadedComment>
  <threadedComment ref="C296" dT="2020-03-02T03:34:17.44" personId="{16CE82BB-5554-4883-992D-E856DD46CC1E}" id="{7BEF8C81-54B0-4A3D-A390-D360B6B2B118}">
    <text>車規品</text>
  </threadedComment>
  <threadedComment ref="C298" dT="2020-01-16T09:53:34.31" personId="{16CE82BB-5554-4883-992D-E856DD46CC1E}" id="{5A4B1E3F-4B8D-4958-A8E5-B473E7E421FB}">
    <text>計畫停產</text>
  </threadedComment>
  <threadedComment ref="C299" dT="2020-03-02T03:34:17.44" personId="{16CE82BB-5554-4883-992D-E856DD46CC1E}" id="{F846007C-F68A-424D-A763-A255855E2FD9}">
    <text>車規品</text>
  </threadedComment>
  <threadedComment ref="C320" dT="2020-03-02T03:34:17.44" personId="{16CE82BB-5554-4883-992D-E856DD46CC1E}" id="{4392AD40-570C-44F1-A9CE-F44A594839B7}">
    <text>車規品</text>
  </threadedComment>
  <threadedComment ref="C322" dT="2020-03-02T03:34:17.44" personId="{16CE82BB-5554-4883-992D-E856DD46CC1E}" id="{3803D410-90BB-4979-AA0F-9993134E48FD}">
    <text>車規品</text>
  </threadedComment>
  <threadedComment ref="C324" dT="2020-03-02T03:34:17.44" personId="{16CE82BB-5554-4883-992D-E856DD46CC1E}" id="{103993D9-0AE3-48F0-9BDE-76D6161E7331}">
    <text>車規品</text>
  </threadedComment>
  <threadedComment ref="C326" dT="2020-03-02T03:34:17.44" personId="{16CE82BB-5554-4883-992D-E856DD46CC1E}" id="{4DF95051-076C-437D-A02B-F513E765EC83}">
    <text>車規品</text>
  </threadedComment>
  <threadedComment ref="C327" dT="2020-03-02T03:34:17.44" personId="{16CE82BB-5554-4883-992D-E856DD46CC1E}" id="{02570814-A928-400B-932A-7C70E233DD7B}">
    <text>車規品</text>
  </threadedComment>
  <threadedComment ref="C341" dT="2020-03-02T03:34:17.44" personId="{16CE82BB-5554-4883-992D-E856DD46CC1E}" id="{0E8C571C-336C-4F69-B527-A982582D55ED}">
    <text>車規品</text>
  </threadedComment>
  <threadedComment ref="C342" dT="2020-03-02T03:34:17.44" personId="{16CE82BB-5554-4883-992D-E856DD46CC1E}" id="{DEDAEC96-959C-4EF6-B298-1A0680870DFB}">
    <text>車規品</text>
  </threadedComment>
  <threadedComment ref="C359" dT="2020-03-02T03:34:17.44" personId="{16CE82BB-5554-4883-992D-E856DD46CC1E}" id="{38713EE8-7294-447F-A92D-C5FC498CD62A}">
    <text>電源使用規格</text>
  </threadedComment>
  <threadedComment ref="C360" dT="2020-03-02T03:34:17.44" personId="{16CE82BB-5554-4883-992D-E856DD46CC1E}" id="{59A0AAF4-5474-4526-87CB-500A3A2254D7}">
    <text>電源使用規格</text>
  </threadedComment>
  <threadedComment ref="C361" dT="2020-03-02T03:34:17.44" personId="{16CE82BB-5554-4883-992D-E856DD46CC1E}" id="{0B20D5AA-CFDE-40F2-9065-0B3CE7EC4A29}">
    <text>電源使用規格</text>
  </threadedComment>
  <threadedComment ref="C362" dT="2020-03-02T03:34:17.44" personId="{16CE82BB-5554-4883-992D-E856DD46CC1E}" id="{5626FE85-79A6-40F4-A5AA-1B6C6EA6777A}">
    <text>電源使用規格</text>
  </threadedComment>
  <threadedComment ref="C363" dT="2020-03-02T03:34:17.44" personId="{16CE82BB-5554-4883-992D-E856DD46CC1E}" id="{ACB57188-1635-427D-ACE0-F7A95E297E29}">
    <text>電源使用規格</text>
  </threadedComment>
  <threadedComment ref="C364" dT="2020-03-02T03:34:17.44" personId="{16CE82BB-5554-4883-992D-E856DD46CC1E}" id="{2DDBFD53-A364-4130-8952-EAD8A3500D9B}">
    <text>電源使用規格</text>
  </threadedComment>
  <threadedComment ref="C365" dT="2020-03-02T03:34:17.44" personId="{16CE82BB-5554-4883-992D-E856DD46CC1E}" id="{A1494A4B-0976-406C-90A2-34E09797FDD6}">
    <text>車規品</text>
  </threadedComment>
  <threadedComment ref="C366" dT="2020-03-02T03:34:17.44" personId="{16CE82BB-5554-4883-992D-E856DD46CC1E}" id="{E5E33DB3-4482-49EC-BD4B-4CFB272939F9}">
    <text>車規品</text>
  </threadedComment>
  <threadedComment ref="C367" dT="2020-03-02T03:34:17.44" personId="{16CE82BB-5554-4883-992D-E856DD46CC1E}" id="{BD1630BE-56D2-462B-A5C5-F4B72A76F7CF}">
    <text>車規品</text>
  </threadedComment>
  <threadedComment ref="C368" dT="2020-03-02T03:34:17.44" personId="{16CE82BB-5554-4883-992D-E856DD46CC1E}" id="{8FBEA31C-484A-494F-BFA7-A6EDDA09DD22}">
    <text>車規品</text>
  </threadedComment>
  <threadedComment ref="C369" dT="2020-03-02T03:34:17.44" personId="{16CE82BB-5554-4883-992D-E856DD46CC1E}" id="{BF133945-EF51-468F-933C-E665679FCD66}">
    <text>車規品</text>
  </threadedComment>
  <threadedComment ref="C370" dT="2020-03-02T03:34:17.44" personId="{16CE82BB-5554-4883-992D-E856DD46CC1E}" id="{BB7B467D-549C-4F0E-BC7A-46418B872C4C}">
    <text>車規品</text>
  </threadedComment>
  <threadedComment ref="C372" dT="2020-03-02T03:34:17.44" personId="{16CE82BB-5554-4883-992D-E856DD46CC1E}" id="{CE27CA53-5205-4388-9339-0815CF3CC431}">
    <text>車規品</text>
  </threadedComment>
  <threadedComment ref="C375" dT="2020-03-02T03:34:17.44" personId="{16CE82BB-5554-4883-992D-E856DD46CC1E}" id="{85DA2147-2C6E-4D75-80FA-4071337E6269}">
    <text>車規品</text>
  </threadedComment>
  <threadedComment ref="C379" dT="2020-03-02T03:34:17.44" personId="{16CE82BB-5554-4883-992D-E856DD46CC1E}" id="{8BBCD6B6-34BE-4EA9-BDAF-C1E2860A96B5}">
    <text>電源使用規格</text>
  </threadedComment>
  <threadedComment ref="C380" dT="2020-03-02T03:34:17.44" personId="{16CE82BB-5554-4883-992D-E856DD46CC1E}" id="{1C567C9C-374E-4714-8861-F0DDB67B68A3}">
    <text>電源使用規格</text>
  </threadedComment>
  <threadedComment ref="C381" dT="2020-03-02T03:34:17.44" personId="{16CE82BB-5554-4883-992D-E856DD46CC1E}" id="{95E02C7E-2F04-4F9C-B863-D9627E3B0603}">
    <text>電源使用規格</text>
  </threadedComment>
  <threadedComment ref="C382" dT="2020-03-02T03:34:17.44" personId="{16CE82BB-5554-4883-992D-E856DD46CC1E}" id="{84572A6C-2146-4DD8-9E68-4DB599726FAA}">
    <text>電源使用規格</text>
  </threadedComment>
  <threadedComment ref="C383" dT="2020-03-02T03:34:17.44" personId="{16CE82BB-5554-4883-992D-E856DD46CC1E}" id="{6613A427-9E6B-40FC-9300-CC81442E2F30}">
    <text>電源使用規格</text>
  </threadedComment>
  <threadedComment ref="C384" dT="2020-03-02T03:34:17.44" personId="{16CE82BB-5554-4883-992D-E856DD46CC1E}" id="{FD0B8CFE-2CF6-4360-9F4C-B78A0E82BD29}">
    <text>車規品</text>
  </threadedComment>
  <threadedComment ref="C386" dT="2020-03-02T03:34:17.44" personId="{16CE82BB-5554-4883-992D-E856DD46CC1E}" id="{4DC96AFA-311A-4340-A5B2-B6D0A53DB139}">
    <text>車規品</text>
  </threadedComment>
  <threadedComment ref="C387" dT="2020-03-02T03:34:17.44" personId="{16CE82BB-5554-4883-992D-E856DD46CC1E}" id="{C5E6ECD6-577B-49F1-ACBA-54083C3FE379}">
    <text>車規品</text>
  </threadedComment>
  <threadedComment ref="C388" dT="2020-03-02T03:34:17.44" personId="{16CE82BB-5554-4883-992D-E856DD46CC1E}" id="{323B450A-8AA2-465F-837A-9BF60AB2DC3B}">
    <text>車規品</text>
  </threadedComment>
  <threadedComment ref="C392" dT="2020-03-02T03:34:17.44" personId="{16CE82BB-5554-4883-992D-E856DD46CC1E}" id="{98230D98-16EB-4911-AF96-4E7B683F4A74}">
    <text>車規品</text>
  </threadedComment>
  <threadedComment ref="C393" dT="2020-03-02T03:34:17.44" personId="{16CE82BB-5554-4883-992D-E856DD46CC1E}" id="{811909C2-C1D2-4CEE-91D5-197DF8EB144D}">
    <text>車規品</text>
  </threadedComment>
  <threadedComment ref="C394" dT="2020-03-02T03:34:17.44" personId="{16CE82BB-5554-4883-992D-E856DD46CC1E}" id="{F4221E11-240D-4BD7-852C-0D0E95F1DF0B}">
    <text>電源使用規格</text>
  </threadedComment>
  <threadedComment ref="C395" dT="2020-03-02T03:34:17.44" personId="{16CE82BB-5554-4883-992D-E856DD46CC1E}" id="{7A837F53-F571-43C4-8B28-CFDCFC1716AF}">
    <text>電源使用規格</text>
  </threadedComment>
  <threadedComment ref="C396" dT="2020-03-02T03:34:17.44" personId="{16CE82BB-5554-4883-992D-E856DD46CC1E}" id="{FCD8E5D0-9839-4FC7-AE7C-401344B6B257}">
    <text>車規品</text>
  </threadedComment>
  <threadedComment ref="C397" dT="2020-03-02T03:34:17.44" personId="{16CE82BB-5554-4883-992D-E856DD46CC1E}" id="{0944518A-519E-4262-B394-1EB9C0BCC279}">
    <text>車規品</text>
  </threadedComment>
  <threadedComment ref="C398" dT="2020-03-02T03:34:17.44" personId="{16CE82BB-5554-4883-992D-E856DD46CC1E}" id="{B4586D53-393C-4038-B42E-27055CB1064D}">
    <text>車規品</text>
  </threadedComment>
  <threadedComment ref="C403" dT="2020-03-02T03:34:17.44" personId="{16CE82BB-5554-4883-992D-E856DD46CC1E}" id="{3189882D-290C-4671-9167-D668BC955DEB}">
    <text>電源使用規格</text>
  </threadedComment>
  <threadedComment ref="C404" dT="2020-03-02T03:34:17.44" personId="{16CE82BB-5554-4883-992D-E856DD46CC1E}" id="{72F42571-C6FB-498E-B0D0-094CE6F3C1FD}">
    <text>電源使用規格</text>
  </threadedComment>
  <threadedComment ref="C406" dT="2020-03-02T03:34:17.44" personId="{16CE82BB-5554-4883-992D-E856DD46CC1E}" id="{6441210B-2FEB-47F7-B341-40707D43DF0E}">
    <text>車規品</text>
  </threadedComment>
  <threadedComment ref="C407" dT="2020-03-02T03:34:17.44" personId="{16CE82BB-5554-4883-992D-E856DD46CC1E}" id="{9F69CD62-AB9F-4EEC-BABC-FBD76C686F10}">
    <text>車規品</text>
  </threadedComment>
  <threadedComment ref="C409" dT="2020-03-02T03:34:17.44" personId="{16CE82BB-5554-4883-992D-E856DD46CC1E}" id="{F5154C07-C1AD-43DD-8D61-A1E90AD823B7}">
    <text>車規品</text>
  </threadedComment>
  <threadedComment ref="C410" dT="2020-03-02T03:34:17.44" personId="{16CE82BB-5554-4883-992D-E856DD46CC1E}" id="{0D2D9584-4568-43C5-A765-E356766C96C6}">
    <text>電源使用規格</text>
  </threadedComment>
  <threadedComment ref="C413" dT="2020-03-02T03:34:17.44" personId="{16CE82BB-5554-4883-992D-E856DD46CC1E}" id="{8A972A85-9925-4B99-82C3-EF2399945F7E}">
    <text>車規品</text>
  </threadedComment>
  <threadedComment ref="C414" dT="2020-03-02T03:34:17.44" personId="{16CE82BB-5554-4883-992D-E856DD46CC1E}" id="{6133FE69-1EE1-4FB5-8C60-426B511D9588}">
    <text>車規品</text>
  </threadedComment>
  <threadedComment ref="C415" dT="2020-03-02T03:34:17.44" personId="{16CE82BB-5554-4883-992D-E856DD46CC1E}" id="{A431150C-AB65-4AAE-B454-EEF5111A792E}">
    <text>車規品</text>
  </threadedComment>
  <threadedComment ref="C417" dT="2020-03-02T03:34:17.44" personId="{16CE82BB-5554-4883-992D-E856DD46CC1E}" id="{3CB174A6-71E2-4C1D-8253-7BE01E2F1A75}">
    <text>電源使用規格</text>
  </threadedComment>
  <threadedComment ref="C418" dT="2020-03-02T03:34:17.44" personId="{16CE82BB-5554-4883-992D-E856DD46CC1E}" id="{4472EAB3-85E4-47FF-9657-BEA83EBEB35C}">
    <text>車規品</text>
  </threadedComment>
  <threadedComment ref="C419" dT="2020-03-02T03:34:17.44" personId="{16CE82BB-5554-4883-992D-E856DD46CC1E}" id="{807DE3EE-52B8-4C38-8099-4547163406F5}">
    <text>車規品</text>
  </threadedComment>
  <threadedComment ref="C420" dT="2020-03-02T03:34:17.44" personId="{16CE82BB-5554-4883-992D-E856DD46CC1E}" id="{01624C70-5166-4F7D-821D-8346DF2A1845}">
    <text>車規品</text>
  </threadedComment>
  <threadedComment ref="C421" dT="2020-03-02T03:34:17.44" personId="{16CE82BB-5554-4883-992D-E856DD46CC1E}" id="{081413CE-9A24-41DF-9AD8-0F11EFE2A0FD}">
    <text>車規品</text>
  </threadedComment>
  <threadedComment ref="C423" dT="2020-03-02T03:34:17.44" personId="{16CE82BB-5554-4883-992D-E856DD46CC1E}" id="{D7D50198-F135-479B-A20D-9A9DCE9917B4}">
    <text>車規品</text>
  </threadedComment>
  <threadedComment ref="C424" dT="2020-03-02T03:34:17.44" personId="{16CE82BB-5554-4883-992D-E856DD46CC1E}" id="{B7858D13-4792-465D-8FD9-789F0F49132D}">
    <text>車規品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20" dT="2020-03-02T03:34:17.44" personId="{16CE82BB-5554-4883-992D-E856DD46CC1E}" id="{41B3A206-790D-4236-B626-5FB1D4E90CA7}">
    <text>車規品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8" dT="2020-01-14T08:20:45.70" personId="{16CE82BB-5554-4883-992D-E856DD46CC1E}" id="{2BBC1FF4-F8AE-470E-8555-FA33F4280039}">
    <text>Derating1。 Measure capacitance after heat treatment。 Only for mobile devices</text>
  </threadedComment>
  <threadedComment ref="D10" dT="2020-01-22T02:22:34.11" personId="{16CE82BB-5554-4883-992D-E856DD46CC1E}" id="{B90241BF-B398-40DD-8D26-DFEF4A4A365A}">
    <text>0.39T or 0.35T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3" dT="2020-01-14T08:20:45.70" personId="{16CE82BB-5554-4883-992D-E856DD46CC1E}" id="{21FE1266-70B5-4B09-AA83-9EB1FFB1B81C}">
    <text>Derating1。 Measure capacitance after heat treatment。 Only for mobile devices</text>
  </threadedComment>
  <threadedComment ref="D42" dT="2020-01-22T02:22:34.11" personId="{16CE82BB-5554-4883-992D-E856DD46CC1E}" id="{6981E0D1-2D2D-4D6F-95E2-3AED052EE4C9}">
    <text>0.39T or 0.35T</text>
  </threadedComment>
  <threadedComment ref="D43" dT="2020-01-22T02:22:34.11" personId="{16CE82BB-5554-4883-992D-E856DD46CC1E}" id="{68A77457-6A86-4214-8A28-22A8D4042982}">
    <text>0.39T or 0.35T</text>
  </threadedComment>
  <threadedComment ref="C181" dT="2020-03-02T03:34:17.44" personId="{16CE82BB-5554-4883-992D-E856DD46CC1E}" id="{E3EE2822-907F-43E9-975A-90F62E4D6A5F}">
    <text>車規品</text>
  </threadedComment>
  <threadedComment ref="C182" dT="2020-03-02T03:34:17.44" personId="{16CE82BB-5554-4883-992D-E856DD46CC1E}" id="{CD861409-B0FE-4308-A04D-BF5F03026410}">
    <text>車規品</text>
  </threadedComment>
  <threadedComment ref="C184" dT="2020-03-02T03:34:17.44" personId="{16CE82BB-5554-4883-992D-E856DD46CC1E}" id="{75A68BA3-2236-4FAE-B7B5-AC7AEABB29C2}">
    <text>車規品</text>
  </threadedComment>
  <threadedComment ref="C185" dT="2020-03-02T03:34:17.44" personId="{16CE82BB-5554-4883-992D-E856DD46CC1E}" id="{AE6D46D5-86DC-45DD-8119-A6378464983E}">
    <text>車規品</text>
  </threadedComment>
  <threadedComment ref="C188" dT="2020-03-02T03:34:17.44" personId="{16CE82BB-5554-4883-992D-E856DD46CC1E}" id="{20377F8F-5E02-48CE-ABD7-F87292300BB0}">
    <text>車規品</text>
  </threadedComment>
  <threadedComment ref="C189" dT="2020-03-02T03:34:17.44" personId="{16CE82BB-5554-4883-992D-E856DD46CC1E}" id="{828CC035-1DB4-4DF0-9E2A-1AED9CCF2992}">
    <text>車規品</text>
  </threadedComment>
  <threadedComment ref="C232" dT="2020-03-02T03:34:17.44" personId="{16CE82BB-5554-4883-992D-E856DD46CC1E}" id="{54625828-F602-4C75-B94C-645DC061BD89}">
    <text>車規品</text>
  </threadedComment>
  <threadedComment ref="C239" dT="2020-03-02T03:34:17.44" personId="{16CE82BB-5554-4883-992D-E856DD46CC1E}" id="{5E73A32D-B4AE-4897-A449-F9C8910F44F9}">
    <text>車規品</text>
  </threadedComment>
  <threadedComment ref="C247" dT="2020-03-02T03:34:17.44" personId="{16CE82BB-5554-4883-992D-E856DD46CC1E}" id="{A4488398-00DF-4A28-8C0E-FA7DDBEDFCDC}">
    <text>車規品</text>
  </threadedComment>
  <threadedComment ref="C277" dT="2020-03-02T03:34:17.44" personId="{16CE82BB-5554-4883-992D-E856DD46CC1E}" id="{F9659F2F-315D-4D10-85E0-B63AF8C48865}">
    <text>車規品</text>
  </threadedComment>
  <threadedComment ref="C293" dT="2020-03-02T03:34:17.44" personId="{16CE82BB-5554-4883-992D-E856DD46CC1E}" id="{D2CF1320-677C-4AC4-AB69-4FB0383C5C06}">
    <text>車規品</text>
  </threadedComment>
  <threadedComment ref="C301" dT="2020-03-02T03:34:17.44" personId="{16CE82BB-5554-4883-992D-E856DD46CC1E}" id="{8AD32D01-36A4-480E-9B82-96FB85A6BC3B}">
    <text>車規品</text>
  </threadedComment>
  <threadedComment ref="C303" dT="2020-01-16T09:53:34.31" personId="{16CE82BB-5554-4883-992D-E856DD46CC1E}" id="{555BE67A-B05D-41CE-8DB2-65B80209913A}">
    <text>計畫停產</text>
  </threadedComment>
  <threadedComment ref="C304" dT="2020-03-02T03:34:17.44" personId="{16CE82BB-5554-4883-992D-E856DD46CC1E}" id="{52C95FF2-98B9-4778-8A49-B6A12F2C73DC}">
    <text>車規品</text>
  </threadedComment>
  <threadedComment ref="C325" dT="2020-03-02T03:34:17.44" personId="{16CE82BB-5554-4883-992D-E856DD46CC1E}" id="{B86EF8AE-3CAE-4C4C-BA1E-365B90C0C1AA}">
    <text>車規品</text>
  </threadedComment>
  <threadedComment ref="C327" dT="2020-03-02T03:34:17.44" personId="{16CE82BB-5554-4883-992D-E856DD46CC1E}" id="{417CC915-31DE-4156-95AC-B9025A58C7B9}">
    <text>車規品</text>
  </threadedComment>
  <threadedComment ref="C329" dT="2020-03-02T03:34:17.44" personId="{16CE82BB-5554-4883-992D-E856DD46CC1E}" id="{AF84386D-CDBC-494B-911D-FE98F38C57EC}">
    <text>車規品</text>
  </threadedComment>
  <threadedComment ref="C331" dT="2020-03-02T03:34:17.44" personId="{16CE82BB-5554-4883-992D-E856DD46CC1E}" id="{F172A9AB-E196-4BCC-8864-DFE95DD97341}">
    <text>車規品</text>
  </threadedComment>
  <threadedComment ref="C332" dT="2020-03-02T03:34:17.44" personId="{16CE82BB-5554-4883-992D-E856DD46CC1E}" id="{C6DC09FE-2EA6-43A1-9863-AAFA9B015604}">
    <text>車規品</text>
  </threadedComment>
  <threadedComment ref="C346" dT="2020-03-02T03:34:17.44" personId="{16CE82BB-5554-4883-992D-E856DD46CC1E}" id="{5AA4E34C-057E-4C99-93B1-327A46278F57}">
    <text>車規品</text>
  </threadedComment>
  <threadedComment ref="C347" dT="2020-03-02T03:34:17.44" personId="{16CE82BB-5554-4883-992D-E856DD46CC1E}" id="{BE8D6094-1E92-4690-8BC5-60D232C823FD}">
    <text>車規品</text>
  </threadedComment>
  <threadedComment ref="C364" dT="2020-03-02T03:34:17.44" personId="{16CE82BB-5554-4883-992D-E856DD46CC1E}" id="{E3780E46-A5A5-4AB0-A07E-4797780E0835}">
    <text>電源使用規格</text>
  </threadedComment>
  <threadedComment ref="C365" dT="2020-03-02T03:34:17.44" personId="{16CE82BB-5554-4883-992D-E856DD46CC1E}" id="{5C4E6D67-C9A8-4B36-8EAF-41715CE9DC82}">
    <text>電源使用規格</text>
  </threadedComment>
  <threadedComment ref="C366" dT="2020-03-02T03:34:17.44" personId="{16CE82BB-5554-4883-992D-E856DD46CC1E}" id="{383ACEE1-F36A-4E12-9E20-B629486637F9}">
    <text>電源使用規格</text>
  </threadedComment>
  <threadedComment ref="C367" dT="2020-03-02T03:34:17.44" personId="{16CE82BB-5554-4883-992D-E856DD46CC1E}" id="{635A2839-8F66-4748-A4F0-DAB805D1AC0C}">
    <text>電源使用規格</text>
  </threadedComment>
  <threadedComment ref="C368" dT="2020-03-02T03:34:17.44" personId="{16CE82BB-5554-4883-992D-E856DD46CC1E}" id="{B3E3531F-3EB5-40CB-A7EB-24613113E37C}">
    <text>電源使用規格</text>
  </threadedComment>
  <threadedComment ref="C369" dT="2020-03-02T03:34:17.44" personId="{16CE82BB-5554-4883-992D-E856DD46CC1E}" id="{4C0FAD3D-A4FA-40A4-B47E-64BC06BDEEC6}">
    <text>電源使用規格</text>
  </threadedComment>
  <threadedComment ref="C370" dT="2020-03-02T03:34:17.44" personId="{16CE82BB-5554-4883-992D-E856DD46CC1E}" id="{A8F05B26-9C60-4D08-AF8F-369B194C9715}">
    <text>車規品</text>
  </threadedComment>
  <threadedComment ref="C371" dT="2020-03-02T03:34:17.44" personId="{16CE82BB-5554-4883-992D-E856DD46CC1E}" id="{E80B5536-15A9-4EB3-B2AC-E8F9F908BD3D}">
    <text>車規品</text>
  </threadedComment>
  <threadedComment ref="C372" dT="2020-03-02T03:34:17.44" personId="{16CE82BB-5554-4883-992D-E856DD46CC1E}" id="{AAB6F6E0-111D-4F4A-B4EC-C46CE0F43D6E}">
    <text>車規品</text>
  </threadedComment>
  <threadedComment ref="C373" dT="2020-03-02T03:34:17.44" personId="{16CE82BB-5554-4883-992D-E856DD46CC1E}" id="{16BAD8D2-6BD2-451D-BA9E-E35F16C179BB}">
    <text>車規品</text>
  </threadedComment>
  <threadedComment ref="C374" dT="2020-03-02T03:34:17.44" personId="{16CE82BB-5554-4883-992D-E856DD46CC1E}" id="{666A203A-332A-443B-9BC9-F9F567ED15B8}">
    <text>車規品</text>
  </threadedComment>
  <threadedComment ref="C375" dT="2020-03-02T03:34:17.44" personId="{16CE82BB-5554-4883-992D-E856DD46CC1E}" id="{865E2DCD-0377-4D58-B11E-673D726544A0}">
    <text>車規品</text>
  </threadedComment>
  <threadedComment ref="C377" dT="2020-03-02T03:34:17.44" personId="{16CE82BB-5554-4883-992D-E856DD46CC1E}" id="{A34556BE-5E4F-4AD9-99B9-BFA2F542AD13}">
    <text>車規品</text>
  </threadedComment>
  <threadedComment ref="C380" dT="2020-03-02T03:34:17.44" personId="{16CE82BB-5554-4883-992D-E856DD46CC1E}" id="{6F28E4FB-37CB-4A87-A8A4-8529ADE1DD5E}">
    <text>車規品</text>
  </threadedComment>
  <threadedComment ref="C384" dT="2020-03-02T03:34:17.44" personId="{16CE82BB-5554-4883-992D-E856DD46CC1E}" id="{8AC3BFDB-4D15-4198-9130-6FB45B248C20}">
    <text>電源使用規格</text>
  </threadedComment>
  <threadedComment ref="C385" dT="2020-03-02T03:34:17.44" personId="{16CE82BB-5554-4883-992D-E856DD46CC1E}" id="{7DB9F828-4D17-4199-BD74-0DCD960DCDA1}">
    <text>電源使用規格</text>
  </threadedComment>
  <threadedComment ref="C386" dT="2020-03-02T03:34:17.44" personId="{16CE82BB-5554-4883-992D-E856DD46CC1E}" id="{7AC7EABD-699E-4339-B85D-DCF51DA5D4D6}">
    <text>電源使用規格</text>
  </threadedComment>
  <threadedComment ref="C387" dT="2020-03-02T03:34:17.44" personId="{16CE82BB-5554-4883-992D-E856DD46CC1E}" id="{5D0FDE62-7E6A-4F7C-87CB-A11080EDB1EE}">
    <text>電源使用規格</text>
  </threadedComment>
  <threadedComment ref="C388" dT="2020-03-02T03:34:17.44" personId="{16CE82BB-5554-4883-992D-E856DD46CC1E}" id="{027DF3FB-A2BC-479E-A87F-8CAB5C33D263}">
    <text>電源使用規格</text>
  </threadedComment>
  <threadedComment ref="C389" dT="2020-03-02T03:34:17.44" personId="{16CE82BB-5554-4883-992D-E856DD46CC1E}" id="{7B9C6307-1219-41BA-88AF-8E996F63AD13}">
    <text>車規品</text>
  </threadedComment>
  <threadedComment ref="C391" dT="2020-03-02T03:34:17.44" personId="{16CE82BB-5554-4883-992D-E856DD46CC1E}" id="{7119CC8B-662F-4634-8261-54ABAD3AE4CB}">
    <text>車規品</text>
  </threadedComment>
  <threadedComment ref="C392" dT="2020-03-02T03:34:17.44" personId="{16CE82BB-5554-4883-992D-E856DD46CC1E}" id="{CCF284BA-5D81-49C3-B95C-680EC1A664E5}">
    <text>車規品</text>
  </threadedComment>
  <threadedComment ref="C393" dT="2020-03-02T03:34:17.44" personId="{16CE82BB-5554-4883-992D-E856DD46CC1E}" id="{05F42B19-F163-4A12-93B3-EA1C910C2EAD}">
    <text>車規品</text>
  </threadedComment>
  <threadedComment ref="C397" dT="2020-03-02T03:34:17.44" personId="{16CE82BB-5554-4883-992D-E856DD46CC1E}" id="{0F7ED692-324C-423F-A548-B58E4324E1E5}">
    <text>車規品</text>
  </threadedComment>
  <threadedComment ref="C398" dT="2020-03-02T03:34:17.44" personId="{16CE82BB-5554-4883-992D-E856DD46CC1E}" id="{359F601B-8DCB-4304-BB72-22F4C9A6CF27}">
    <text>車規品</text>
  </threadedComment>
  <threadedComment ref="C399" dT="2020-03-02T03:34:17.44" personId="{16CE82BB-5554-4883-992D-E856DD46CC1E}" id="{3CDCEBB7-EF2E-4A6E-BF40-582717E2C33F}">
    <text>電源使用規格</text>
  </threadedComment>
  <threadedComment ref="C400" dT="2020-03-02T03:34:17.44" personId="{16CE82BB-5554-4883-992D-E856DD46CC1E}" id="{5DAF534D-9B43-4038-9601-D99A9ED1A30D}">
    <text>電源使用規格</text>
  </threadedComment>
  <threadedComment ref="C401" dT="2020-03-02T03:34:17.44" personId="{16CE82BB-5554-4883-992D-E856DD46CC1E}" id="{45C8ACC7-FF93-4666-A751-A2C021042D0B}">
    <text>車規品</text>
  </threadedComment>
  <threadedComment ref="C402" dT="2020-03-02T03:34:17.44" personId="{16CE82BB-5554-4883-992D-E856DD46CC1E}" id="{B1C4A147-9E4A-4661-A125-4FA3AE357932}">
    <text>車規品</text>
  </threadedComment>
  <threadedComment ref="C403" dT="2020-03-02T03:34:17.44" personId="{16CE82BB-5554-4883-992D-E856DD46CC1E}" id="{24AFD2C2-6917-4AFE-9001-B566809577A6}">
    <text>車規品</text>
  </threadedComment>
  <threadedComment ref="C408" dT="2020-03-02T03:34:17.44" personId="{16CE82BB-5554-4883-992D-E856DD46CC1E}" id="{7BCA3E2E-EA3B-4905-BDB5-0C5C8091AA35}">
    <text>電源使用規格</text>
  </threadedComment>
  <threadedComment ref="C409" dT="2020-03-02T03:34:17.44" personId="{16CE82BB-5554-4883-992D-E856DD46CC1E}" id="{52C96D93-3EB1-4A2B-AFCD-A024B48D5380}">
    <text>電源使用規格</text>
  </threadedComment>
  <threadedComment ref="C411" dT="2020-03-02T03:34:17.44" personId="{16CE82BB-5554-4883-992D-E856DD46CC1E}" id="{0E2F51D2-0043-4A40-8621-339FFBF3DA29}">
    <text>車規品</text>
  </threadedComment>
  <threadedComment ref="C412" dT="2020-03-02T03:34:17.44" personId="{16CE82BB-5554-4883-992D-E856DD46CC1E}" id="{5265F555-52A3-4068-8FD9-9EC75C9FCE6A}">
    <text>車規品</text>
  </threadedComment>
  <threadedComment ref="C414" dT="2020-03-02T03:34:17.44" personId="{16CE82BB-5554-4883-992D-E856DD46CC1E}" id="{2A9B35EB-74CA-4D73-9552-8E714B0DF5D6}">
    <text>車規品</text>
  </threadedComment>
  <threadedComment ref="C415" dT="2020-03-02T03:34:17.44" personId="{16CE82BB-5554-4883-992D-E856DD46CC1E}" id="{A9394D96-F5B7-450B-B5ED-93272D3FB723}">
    <text>電源使用規格</text>
  </threadedComment>
  <threadedComment ref="C418" dT="2020-03-02T03:34:17.44" personId="{16CE82BB-5554-4883-992D-E856DD46CC1E}" id="{3C89EE80-3161-4FF4-BEBD-E7375B53B4E9}">
    <text>車規品</text>
  </threadedComment>
  <threadedComment ref="C419" dT="2020-03-02T03:34:17.44" personId="{16CE82BB-5554-4883-992D-E856DD46CC1E}" id="{4B008EB0-962E-49D9-97EE-9CDBB2CD614A}">
    <text>車規品</text>
  </threadedComment>
  <threadedComment ref="C420" dT="2020-03-02T03:34:17.44" personId="{16CE82BB-5554-4883-992D-E856DD46CC1E}" id="{3DA9D3CB-4641-46F8-A9FD-5B5F29790613}">
    <text>車規品</text>
  </threadedComment>
  <threadedComment ref="C422" dT="2020-03-02T03:34:17.44" personId="{16CE82BB-5554-4883-992D-E856DD46CC1E}" id="{24E0BFC7-0B2A-4058-B74C-48565977181C}">
    <text>電源使用規格</text>
  </threadedComment>
  <threadedComment ref="C423" dT="2020-03-02T03:34:17.44" personId="{16CE82BB-5554-4883-992D-E856DD46CC1E}" id="{48F6496F-5367-4F22-AAD5-ABDA8A7551A3}">
    <text>車規品</text>
  </threadedComment>
  <threadedComment ref="C424" dT="2020-03-02T03:34:17.44" personId="{16CE82BB-5554-4883-992D-E856DD46CC1E}" id="{CECAEAEB-FCB1-46DC-9EA9-3E3A6AFA68D4}">
    <text>車規品</text>
  </threadedComment>
  <threadedComment ref="C425" dT="2020-03-02T03:34:17.44" personId="{16CE82BB-5554-4883-992D-E856DD46CC1E}" id="{647BF09F-E345-48F2-9FB6-4AAC4A1DDD1B}">
    <text>車規品</text>
  </threadedComment>
  <threadedComment ref="C426" dT="2020-03-02T03:34:17.44" personId="{16CE82BB-5554-4883-992D-E856DD46CC1E}" id="{1E6F725F-A445-4BB9-98B9-75B77B841DD7}">
    <text>車規品</text>
  </threadedComment>
  <threadedComment ref="C428" dT="2020-03-02T03:34:17.44" personId="{16CE82BB-5554-4883-992D-E856DD46CC1E}" id="{F7E22E12-4C02-4B14-A7E6-0B4D7C5BD5F4}">
    <text>車規品</text>
  </threadedComment>
  <threadedComment ref="C429" dT="2020-03-02T03:34:17.44" personId="{16CE82BB-5554-4883-992D-E856DD46CC1E}" id="{FE452365-A9D1-415E-8DBB-D1C49C092966}">
    <text>車規品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B9E89-EEC6-44C5-8356-499A96750CEC}">
  <dimension ref="A1:M424"/>
  <sheetViews>
    <sheetView topLeftCell="A2" workbookViewId="0">
      <selection activeCell="B24" sqref="B24"/>
    </sheetView>
  </sheetViews>
  <sheetFormatPr defaultRowHeight="17"/>
  <cols>
    <col min="1" max="1" width="19.36328125" bestFit="1" customWidth="1"/>
    <col min="2" max="2" width="17.1796875" bestFit="1" customWidth="1"/>
    <col min="3" max="4" width="21.54296875" bestFit="1" customWidth="1"/>
    <col min="5" max="5" width="15" bestFit="1" customWidth="1"/>
    <col min="6" max="6" width="21.54296875" bestFit="1" customWidth="1"/>
    <col min="7" max="7" width="12.81640625" bestFit="1" customWidth="1"/>
    <col min="8" max="8" width="10.54296875" bestFit="1" customWidth="1"/>
    <col min="9" max="9" width="17.1796875" bestFit="1" customWidth="1"/>
    <col min="10" max="10" width="9.54296875" bestFit="1" customWidth="1"/>
    <col min="11" max="12" width="4.54296875" bestFit="1" customWidth="1"/>
  </cols>
  <sheetData>
    <row r="1" spans="1:13">
      <c r="A1" s="6" t="s">
        <v>57</v>
      </c>
      <c r="B1" s="7" t="s">
        <v>60</v>
      </c>
      <c r="C1" s="6" t="s">
        <v>55</v>
      </c>
      <c r="D1" s="4" t="s">
        <v>559</v>
      </c>
      <c r="E1" s="4" t="s">
        <v>66</v>
      </c>
      <c r="F1" s="4" t="s">
        <v>69</v>
      </c>
      <c r="G1" s="29" t="s">
        <v>3</v>
      </c>
      <c r="H1" s="4" t="s">
        <v>67</v>
      </c>
      <c r="I1" s="4" t="s">
        <v>4</v>
      </c>
      <c r="J1" s="6" t="s">
        <v>68</v>
      </c>
      <c r="K1" s="32" t="s">
        <v>2</v>
      </c>
      <c r="L1" s="4" t="s">
        <v>0</v>
      </c>
      <c r="M1" s="4" t="s">
        <v>1</v>
      </c>
    </row>
    <row r="2" spans="1:13">
      <c r="A2" s="18" t="s">
        <v>767</v>
      </c>
      <c r="B2" s="18"/>
      <c r="C2" s="18" t="s">
        <v>761</v>
      </c>
      <c r="D2" s="19" t="s">
        <v>138</v>
      </c>
      <c r="E2" s="18" t="s">
        <v>362</v>
      </c>
      <c r="F2" s="18" t="s">
        <v>41</v>
      </c>
      <c r="G2" s="30" t="s">
        <v>562</v>
      </c>
      <c r="H2" s="18">
        <v>101</v>
      </c>
      <c r="I2" s="28" t="s">
        <v>22</v>
      </c>
      <c r="J2" s="20" t="s">
        <v>64</v>
      </c>
      <c r="K2" s="33"/>
      <c r="L2" s="20"/>
      <c r="M2" s="20"/>
    </row>
    <row r="3" spans="1:13">
      <c r="A3" s="18" t="s">
        <v>769</v>
      </c>
      <c r="B3" s="18"/>
      <c r="C3" s="18" t="s">
        <v>581</v>
      </c>
      <c r="D3" s="19" t="s">
        <v>138</v>
      </c>
      <c r="E3" s="18" t="s">
        <v>362</v>
      </c>
      <c r="F3" s="18" t="s">
        <v>41</v>
      </c>
      <c r="G3" s="30" t="s">
        <v>562</v>
      </c>
      <c r="H3" s="18">
        <v>101</v>
      </c>
      <c r="I3" s="28" t="s">
        <v>22</v>
      </c>
      <c r="J3" s="20" t="s">
        <v>64</v>
      </c>
      <c r="K3" s="33"/>
      <c r="L3" s="20"/>
      <c r="M3" s="20"/>
    </row>
    <row r="4" spans="1:13">
      <c r="A4" s="6"/>
      <c r="B4" s="6"/>
      <c r="C4" s="6" t="s">
        <v>582</v>
      </c>
      <c r="D4" s="5" t="s">
        <v>138</v>
      </c>
      <c r="E4" s="6" t="s">
        <v>362</v>
      </c>
      <c r="F4" s="6" t="s">
        <v>41</v>
      </c>
      <c r="G4" s="54" t="s">
        <v>562</v>
      </c>
      <c r="H4" s="6">
        <v>103</v>
      </c>
      <c r="I4" s="55" t="s">
        <v>20</v>
      </c>
      <c r="J4" s="56" t="s">
        <v>63</v>
      </c>
      <c r="K4" s="68"/>
      <c r="L4" s="56"/>
      <c r="M4" s="56"/>
    </row>
    <row r="5" spans="1:13">
      <c r="A5" s="18" t="s">
        <v>768</v>
      </c>
      <c r="B5" s="18"/>
      <c r="C5" s="18" t="s">
        <v>762</v>
      </c>
      <c r="D5" s="19" t="s">
        <v>138</v>
      </c>
      <c r="E5" s="18" t="s">
        <v>362</v>
      </c>
      <c r="F5" s="18" t="s">
        <v>40</v>
      </c>
      <c r="G5" s="30" t="s">
        <v>562</v>
      </c>
      <c r="H5" s="18">
        <v>103</v>
      </c>
      <c r="I5" s="28" t="s">
        <v>92</v>
      </c>
      <c r="J5" s="20" t="s">
        <v>64</v>
      </c>
      <c r="K5" s="33"/>
      <c r="L5" s="20"/>
      <c r="M5" s="20"/>
    </row>
    <row r="6" spans="1:13">
      <c r="A6" s="4" t="s">
        <v>604</v>
      </c>
      <c r="B6" s="4" t="s">
        <v>668</v>
      </c>
      <c r="C6" s="4"/>
      <c r="D6" s="29" t="s">
        <v>70</v>
      </c>
      <c r="E6" s="4" t="s">
        <v>71</v>
      </c>
      <c r="F6" s="6" t="s">
        <v>43</v>
      </c>
      <c r="G6" s="54" t="s">
        <v>78</v>
      </c>
      <c r="H6" s="4">
        <v>104</v>
      </c>
      <c r="I6" s="55" t="s">
        <v>20</v>
      </c>
      <c r="J6" s="60" t="s">
        <v>61</v>
      </c>
      <c r="K6" s="4"/>
      <c r="L6" s="4"/>
      <c r="M6" s="4"/>
    </row>
    <row r="7" spans="1:13">
      <c r="A7" s="18" t="s">
        <v>156</v>
      </c>
      <c r="B7" s="78" t="s">
        <v>157</v>
      </c>
      <c r="C7" s="18"/>
      <c r="D7" s="19" t="s">
        <v>138</v>
      </c>
      <c r="E7" s="18" t="s">
        <v>71</v>
      </c>
      <c r="F7" s="18" t="s">
        <v>43</v>
      </c>
      <c r="G7" s="30" t="s">
        <v>78</v>
      </c>
      <c r="H7" s="18">
        <v>104</v>
      </c>
      <c r="I7" s="28" t="s">
        <v>20</v>
      </c>
      <c r="J7" s="20" t="s">
        <v>62</v>
      </c>
      <c r="K7" s="20"/>
      <c r="L7" s="20"/>
      <c r="M7" s="20"/>
    </row>
    <row r="8" spans="1:13">
      <c r="A8" s="12"/>
      <c r="B8" s="12"/>
      <c r="C8" s="12" t="s">
        <v>74</v>
      </c>
      <c r="D8" s="13" t="s">
        <v>70</v>
      </c>
      <c r="E8" s="12" t="s">
        <v>71</v>
      </c>
      <c r="F8" s="14" t="s">
        <v>75</v>
      </c>
      <c r="G8" s="30" t="s">
        <v>359</v>
      </c>
      <c r="H8" s="12">
        <v>104</v>
      </c>
      <c r="I8" s="28" t="s">
        <v>20</v>
      </c>
      <c r="J8" s="16" t="s">
        <v>62</v>
      </c>
      <c r="K8" s="12"/>
      <c r="L8" s="12"/>
      <c r="M8" s="12"/>
    </row>
    <row r="9" spans="1:13">
      <c r="A9" s="18" t="s">
        <v>171</v>
      </c>
      <c r="B9" s="18" t="s">
        <v>669</v>
      </c>
      <c r="C9" s="78" t="s">
        <v>172</v>
      </c>
      <c r="D9" s="19" t="s">
        <v>138</v>
      </c>
      <c r="E9" s="18" t="s">
        <v>71</v>
      </c>
      <c r="F9" s="18" t="s">
        <v>43</v>
      </c>
      <c r="G9" s="30" t="s">
        <v>78</v>
      </c>
      <c r="H9" s="18">
        <v>104</v>
      </c>
      <c r="I9" s="28" t="s">
        <v>20</v>
      </c>
      <c r="J9" s="20" t="s">
        <v>63</v>
      </c>
      <c r="K9" s="20"/>
      <c r="L9" s="20"/>
      <c r="M9" s="20"/>
    </row>
    <row r="10" spans="1:13">
      <c r="A10" s="4" t="s">
        <v>602</v>
      </c>
      <c r="B10" s="4"/>
      <c r="C10" s="4" t="s">
        <v>770</v>
      </c>
      <c r="D10" s="29" t="s">
        <v>70</v>
      </c>
      <c r="E10" s="4" t="s">
        <v>71</v>
      </c>
      <c r="F10" s="6" t="s">
        <v>43</v>
      </c>
      <c r="G10" s="54" t="s">
        <v>78</v>
      </c>
      <c r="H10" s="4">
        <v>104</v>
      </c>
      <c r="I10" s="55" t="s">
        <v>20</v>
      </c>
      <c r="J10" s="60" t="s">
        <v>65</v>
      </c>
      <c r="K10" s="4"/>
      <c r="L10" s="4"/>
      <c r="M10" s="4"/>
    </row>
    <row r="11" spans="1:13">
      <c r="A11" s="12" t="s">
        <v>85</v>
      </c>
      <c r="B11" s="75" t="s">
        <v>542</v>
      </c>
      <c r="C11" s="75" t="s">
        <v>84</v>
      </c>
      <c r="D11" s="13" t="s">
        <v>70</v>
      </c>
      <c r="E11" s="12" t="s">
        <v>71</v>
      </c>
      <c r="F11" s="14" t="s">
        <v>43</v>
      </c>
      <c r="G11" s="15" t="s">
        <v>79</v>
      </c>
      <c r="H11" s="12">
        <v>105</v>
      </c>
      <c r="I11" s="28" t="s">
        <v>44</v>
      </c>
      <c r="J11" s="16" t="s">
        <v>61</v>
      </c>
      <c r="K11" s="12"/>
      <c r="L11" s="12"/>
      <c r="M11" s="12"/>
    </row>
    <row r="12" spans="1:13">
      <c r="A12" s="6"/>
      <c r="B12" s="6"/>
      <c r="C12" s="6" t="s">
        <v>199</v>
      </c>
      <c r="D12" s="5" t="s">
        <v>138</v>
      </c>
      <c r="E12" s="6" t="s">
        <v>362</v>
      </c>
      <c r="F12" s="6" t="s">
        <v>141</v>
      </c>
      <c r="G12" s="54" t="s">
        <v>78</v>
      </c>
      <c r="H12" s="6">
        <v>105</v>
      </c>
      <c r="I12" s="55" t="s">
        <v>44</v>
      </c>
      <c r="J12" s="56" t="s">
        <v>364</v>
      </c>
      <c r="K12" s="56"/>
      <c r="L12" s="56"/>
      <c r="M12" s="56"/>
    </row>
    <row r="13" spans="1:13">
      <c r="A13" s="6"/>
      <c r="B13" s="6"/>
      <c r="C13" s="6" t="s">
        <v>194</v>
      </c>
      <c r="D13" s="5" t="s">
        <v>138</v>
      </c>
      <c r="E13" s="6" t="s">
        <v>362</v>
      </c>
      <c r="F13" s="6" t="s">
        <v>363</v>
      </c>
      <c r="G13" s="54" t="s">
        <v>359</v>
      </c>
      <c r="H13" s="6">
        <v>105</v>
      </c>
      <c r="I13" s="55" t="s">
        <v>44</v>
      </c>
      <c r="J13" s="56" t="s">
        <v>364</v>
      </c>
      <c r="K13" s="56"/>
      <c r="L13" s="56"/>
      <c r="M13" s="56"/>
    </row>
    <row r="14" spans="1:13">
      <c r="A14" s="6" t="s">
        <v>713</v>
      </c>
      <c r="B14" s="6"/>
      <c r="C14" s="6" t="s">
        <v>200</v>
      </c>
      <c r="D14" s="5" t="s">
        <v>138</v>
      </c>
      <c r="E14" s="6" t="s">
        <v>362</v>
      </c>
      <c r="F14" s="6" t="s">
        <v>141</v>
      </c>
      <c r="G14" s="54" t="s">
        <v>78</v>
      </c>
      <c r="H14" s="6">
        <v>105</v>
      </c>
      <c r="I14" s="55" t="s">
        <v>44</v>
      </c>
      <c r="J14" s="56" t="s">
        <v>367</v>
      </c>
      <c r="K14" s="56"/>
      <c r="L14" s="56"/>
      <c r="M14" s="56"/>
    </row>
    <row r="15" spans="1:13">
      <c r="A15" s="6"/>
      <c r="B15" s="6"/>
      <c r="C15" s="6" t="s">
        <v>195</v>
      </c>
      <c r="D15" s="5" t="s">
        <v>138</v>
      </c>
      <c r="E15" s="6" t="s">
        <v>362</v>
      </c>
      <c r="F15" s="6" t="s">
        <v>365</v>
      </c>
      <c r="G15" s="54" t="s">
        <v>562</v>
      </c>
      <c r="H15" s="6">
        <v>105</v>
      </c>
      <c r="I15" s="55" t="s">
        <v>44</v>
      </c>
      <c r="J15" s="56" t="s">
        <v>366</v>
      </c>
      <c r="K15" s="56"/>
      <c r="L15" s="56"/>
      <c r="M15" s="56"/>
    </row>
    <row r="16" spans="1:13">
      <c r="A16" s="6"/>
      <c r="B16" s="6"/>
      <c r="C16" s="6" t="s">
        <v>785</v>
      </c>
      <c r="D16" s="5" t="s">
        <v>138</v>
      </c>
      <c r="E16" s="4" t="s">
        <v>71</v>
      </c>
      <c r="F16" s="6" t="s">
        <v>75</v>
      </c>
      <c r="G16" s="54" t="str">
        <f>VLOOKUP(F16,材質!A:B,2,0)</f>
        <v xml:space="preserve">-55 to 105℃  </v>
      </c>
      <c r="H16" s="6">
        <v>105</v>
      </c>
      <c r="I16" s="55" t="s">
        <v>92</v>
      </c>
      <c r="J16" s="56" t="s">
        <v>63</v>
      </c>
      <c r="K16" s="57"/>
      <c r="L16" s="56"/>
      <c r="M16" s="53"/>
    </row>
    <row r="17" spans="1:13">
      <c r="A17" s="6"/>
      <c r="B17" s="6"/>
      <c r="C17" s="6" t="s">
        <v>192</v>
      </c>
      <c r="D17" s="5" t="s">
        <v>138</v>
      </c>
      <c r="E17" s="6" t="s">
        <v>357</v>
      </c>
      <c r="F17" s="6" t="s">
        <v>141</v>
      </c>
      <c r="G17" s="54" t="s">
        <v>78</v>
      </c>
      <c r="H17" s="6">
        <v>105</v>
      </c>
      <c r="I17" s="55" t="s">
        <v>44</v>
      </c>
      <c r="J17" s="56" t="s">
        <v>360</v>
      </c>
      <c r="K17" s="56"/>
      <c r="L17" s="56"/>
      <c r="M17" s="56"/>
    </row>
    <row r="18" spans="1:13">
      <c r="A18" s="6" t="s">
        <v>714</v>
      </c>
      <c r="B18" s="6"/>
      <c r="C18" s="6" t="s">
        <v>198</v>
      </c>
      <c r="D18" s="5" t="s">
        <v>138</v>
      </c>
      <c r="E18" s="6" t="s">
        <v>362</v>
      </c>
      <c r="F18" s="6" t="s">
        <v>141</v>
      </c>
      <c r="G18" s="54" t="s">
        <v>78</v>
      </c>
      <c r="H18" s="6">
        <v>105</v>
      </c>
      <c r="I18" s="55" t="s">
        <v>44</v>
      </c>
      <c r="J18" s="56" t="s">
        <v>360</v>
      </c>
      <c r="K18" s="56"/>
      <c r="L18" s="56"/>
      <c r="M18" s="56"/>
    </row>
    <row r="19" spans="1:13">
      <c r="A19" s="6"/>
      <c r="B19" s="6"/>
      <c r="C19" s="6" t="s">
        <v>569</v>
      </c>
      <c r="D19" s="5" t="s">
        <v>138</v>
      </c>
      <c r="E19" s="6" t="s">
        <v>362</v>
      </c>
      <c r="F19" s="6" t="s">
        <v>363</v>
      </c>
      <c r="G19" s="54" t="s">
        <v>359</v>
      </c>
      <c r="H19" s="6">
        <v>105</v>
      </c>
      <c r="I19" s="55" t="s">
        <v>44</v>
      </c>
      <c r="J19" s="56" t="s">
        <v>360</v>
      </c>
      <c r="K19" s="56"/>
      <c r="L19" s="56"/>
      <c r="M19" s="56"/>
    </row>
    <row r="20" spans="1:13">
      <c r="A20" s="6"/>
      <c r="B20" s="6"/>
      <c r="C20" s="6" t="s">
        <v>191</v>
      </c>
      <c r="D20" s="5" t="s">
        <v>138</v>
      </c>
      <c r="E20" s="6" t="s">
        <v>357</v>
      </c>
      <c r="F20" s="6" t="s">
        <v>358</v>
      </c>
      <c r="G20" s="54" t="s">
        <v>359</v>
      </c>
      <c r="H20" s="6">
        <v>105</v>
      </c>
      <c r="I20" s="55" t="s">
        <v>44</v>
      </c>
      <c r="J20" s="56" t="s">
        <v>360</v>
      </c>
      <c r="K20" s="56"/>
      <c r="L20" s="56"/>
      <c r="M20" s="56"/>
    </row>
    <row r="21" spans="1:13">
      <c r="A21" s="6"/>
      <c r="B21" s="6"/>
      <c r="C21" s="6" t="s">
        <v>196</v>
      </c>
      <c r="D21" s="5" t="s">
        <v>138</v>
      </c>
      <c r="E21" s="6" t="s">
        <v>362</v>
      </c>
      <c r="F21" s="6" t="s">
        <v>365</v>
      </c>
      <c r="G21" s="54" t="s">
        <v>562</v>
      </c>
      <c r="H21" s="6">
        <v>105</v>
      </c>
      <c r="I21" s="55" t="s">
        <v>44</v>
      </c>
      <c r="J21" s="56" t="s">
        <v>360</v>
      </c>
      <c r="K21" s="56"/>
      <c r="L21" s="56"/>
      <c r="M21" s="56"/>
    </row>
    <row r="22" spans="1:13">
      <c r="A22" s="18" t="s">
        <v>153</v>
      </c>
      <c r="B22" s="74" t="s">
        <v>155</v>
      </c>
      <c r="C22" s="74" t="s">
        <v>154</v>
      </c>
      <c r="D22" s="19" t="s">
        <v>138</v>
      </c>
      <c r="E22" s="18" t="s">
        <v>71</v>
      </c>
      <c r="F22" s="18" t="s">
        <v>43</v>
      </c>
      <c r="G22" s="30" t="s">
        <v>78</v>
      </c>
      <c r="H22" s="18">
        <v>105</v>
      </c>
      <c r="I22" s="28" t="s">
        <v>20</v>
      </c>
      <c r="J22" s="20" t="s">
        <v>65</v>
      </c>
      <c r="K22" s="20"/>
      <c r="L22" s="20"/>
      <c r="M22" s="20"/>
    </row>
    <row r="23" spans="1:13">
      <c r="A23" s="18"/>
      <c r="B23" s="18" t="s">
        <v>670</v>
      </c>
      <c r="C23" s="18"/>
      <c r="D23" s="19" t="s">
        <v>138</v>
      </c>
      <c r="E23" s="18" t="s">
        <v>71</v>
      </c>
      <c r="F23" s="18" t="s">
        <v>43</v>
      </c>
      <c r="G23" s="30" t="s">
        <v>78</v>
      </c>
      <c r="H23" s="18">
        <v>105</v>
      </c>
      <c r="I23" s="28" t="s">
        <v>20</v>
      </c>
      <c r="J23" s="20" t="s">
        <v>65</v>
      </c>
      <c r="K23" s="20"/>
      <c r="L23" s="20"/>
      <c r="M23" s="20"/>
    </row>
    <row r="24" spans="1:13">
      <c r="A24" s="6" t="s">
        <v>137</v>
      </c>
      <c r="B24" s="6" t="s">
        <v>570</v>
      </c>
      <c r="C24" s="76" t="s">
        <v>751</v>
      </c>
      <c r="D24" s="5" t="s">
        <v>138</v>
      </c>
      <c r="E24" s="6" t="s">
        <v>71</v>
      </c>
      <c r="F24" s="6" t="s">
        <v>43</v>
      </c>
      <c r="G24" s="54" t="s">
        <v>78</v>
      </c>
      <c r="H24" s="6">
        <v>105</v>
      </c>
      <c r="I24" s="55" t="s">
        <v>39</v>
      </c>
      <c r="J24" s="56" t="s">
        <v>65</v>
      </c>
      <c r="K24" s="56"/>
      <c r="L24" s="56"/>
      <c r="M24" s="56"/>
    </row>
    <row r="25" spans="1:13">
      <c r="A25" s="6"/>
      <c r="B25" s="6" t="s">
        <v>671</v>
      </c>
      <c r="C25" s="6"/>
      <c r="D25" s="5" t="s">
        <v>138</v>
      </c>
      <c r="E25" s="6" t="s">
        <v>71</v>
      </c>
      <c r="F25" s="6" t="s">
        <v>43</v>
      </c>
      <c r="G25" s="54" t="s">
        <v>78</v>
      </c>
      <c r="H25" s="6">
        <v>105</v>
      </c>
      <c r="I25" s="55" t="s">
        <v>39</v>
      </c>
      <c r="J25" s="56" t="s">
        <v>65</v>
      </c>
      <c r="K25" s="56"/>
      <c r="L25" s="56"/>
      <c r="M25" s="56"/>
    </row>
    <row r="26" spans="1:13">
      <c r="A26" s="18"/>
      <c r="B26" s="18"/>
      <c r="C26" s="18" t="s">
        <v>193</v>
      </c>
      <c r="D26" s="19" t="s">
        <v>138</v>
      </c>
      <c r="E26" s="18" t="s">
        <v>362</v>
      </c>
      <c r="F26" s="18" t="s">
        <v>363</v>
      </c>
      <c r="G26" s="30" t="s">
        <v>359</v>
      </c>
      <c r="H26" s="18">
        <v>105</v>
      </c>
      <c r="I26" s="28" t="s">
        <v>44</v>
      </c>
      <c r="J26" s="20" t="s">
        <v>361</v>
      </c>
      <c r="K26" s="20"/>
      <c r="L26" s="20"/>
      <c r="M26" s="20"/>
    </row>
    <row r="27" spans="1:13">
      <c r="A27" s="6"/>
      <c r="B27" s="6"/>
      <c r="C27" s="6" t="s">
        <v>197</v>
      </c>
      <c r="D27" s="5" t="s">
        <v>138</v>
      </c>
      <c r="E27" s="6" t="s">
        <v>362</v>
      </c>
      <c r="F27" s="6" t="s">
        <v>365</v>
      </c>
      <c r="G27" s="54" t="s">
        <v>562</v>
      </c>
      <c r="H27" s="6">
        <v>105</v>
      </c>
      <c r="I27" s="55" t="s">
        <v>44</v>
      </c>
      <c r="J27" s="56" t="s">
        <v>361</v>
      </c>
      <c r="K27" s="56"/>
      <c r="L27" s="56"/>
      <c r="M27" s="56"/>
    </row>
    <row r="28" spans="1:13">
      <c r="A28" s="18"/>
      <c r="B28" s="18"/>
      <c r="C28" s="18" t="s">
        <v>764</v>
      </c>
      <c r="D28" s="19" t="s">
        <v>138</v>
      </c>
      <c r="E28" s="18" t="s">
        <v>362</v>
      </c>
      <c r="F28" s="18" t="s">
        <v>41</v>
      </c>
      <c r="G28" s="30" t="s">
        <v>562</v>
      </c>
      <c r="H28" s="18">
        <v>121</v>
      </c>
      <c r="I28" s="28" t="s">
        <v>22</v>
      </c>
      <c r="J28" s="20" t="s">
        <v>64</v>
      </c>
      <c r="K28" s="33"/>
      <c r="L28" s="20"/>
      <c r="M28" s="20"/>
    </row>
    <row r="29" spans="1:13">
      <c r="A29" s="18"/>
      <c r="B29" s="18"/>
      <c r="C29" s="18" t="s">
        <v>584</v>
      </c>
      <c r="D29" s="19" t="s">
        <v>138</v>
      </c>
      <c r="E29" s="18" t="s">
        <v>362</v>
      </c>
      <c r="F29" s="18" t="s">
        <v>41</v>
      </c>
      <c r="G29" s="30" t="s">
        <v>562</v>
      </c>
      <c r="H29" s="18">
        <v>121</v>
      </c>
      <c r="I29" s="28" t="s">
        <v>22</v>
      </c>
      <c r="J29" s="20" t="s">
        <v>64</v>
      </c>
      <c r="K29" s="33"/>
      <c r="L29" s="20"/>
      <c r="M29" s="20"/>
    </row>
    <row r="30" spans="1:13">
      <c r="A30" s="18"/>
      <c r="B30" s="18"/>
      <c r="C30" s="18" t="s">
        <v>765</v>
      </c>
      <c r="D30" s="19" t="s">
        <v>138</v>
      </c>
      <c r="E30" s="18" t="s">
        <v>362</v>
      </c>
      <c r="F30" s="18" t="s">
        <v>41</v>
      </c>
      <c r="G30" s="30" t="s">
        <v>562</v>
      </c>
      <c r="H30" s="18">
        <v>181</v>
      </c>
      <c r="I30" s="28" t="s">
        <v>22</v>
      </c>
      <c r="J30" s="20" t="s">
        <v>64</v>
      </c>
      <c r="K30" s="33"/>
      <c r="L30" s="20"/>
      <c r="M30" s="20"/>
    </row>
    <row r="31" spans="1:13">
      <c r="A31" s="18"/>
      <c r="B31" s="18"/>
      <c r="C31" s="18" t="s">
        <v>585</v>
      </c>
      <c r="D31" s="19" t="s">
        <v>138</v>
      </c>
      <c r="E31" s="18" t="s">
        <v>362</v>
      </c>
      <c r="F31" s="18" t="s">
        <v>41</v>
      </c>
      <c r="G31" s="30" t="s">
        <v>562</v>
      </c>
      <c r="H31" s="18">
        <v>181</v>
      </c>
      <c r="I31" s="28" t="s">
        <v>22</v>
      </c>
      <c r="J31" s="20" t="s">
        <v>64</v>
      </c>
      <c r="K31" s="33"/>
      <c r="L31" s="20"/>
      <c r="M31" s="20"/>
    </row>
    <row r="32" spans="1:13">
      <c r="A32" s="12" t="s">
        <v>86</v>
      </c>
      <c r="B32" s="12"/>
      <c r="C32" s="12" t="s">
        <v>76</v>
      </c>
      <c r="D32" s="13" t="s">
        <v>70</v>
      </c>
      <c r="E32" s="12" t="s">
        <v>71</v>
      </c>
      <c r="F32" s="14" t="s">
        <v>43</v>
      </c>
      <c r="G32" s="15" t="s">
        <v>78</v>
      </c>
      <c r="H32" s="12">
        <v>224</v>
      </c>
      <c r="I32" s="28" t="s">
        <v>20</v>
      </c>
      <c r="J32" s="16" t="s">
        <v>61</v>
      </c>
      <c r="K32" s="12"/>
      <c r="L32" s="12"/>
      <c r="M32" s="12"/>
    </row>
    <row r="33" spans="1:13">
      <c r="A33" s="12" t="s">
        <v>87</v>
      </c>
      <c r="B33" s="12" t="s">
        <v>672</v>
      </c>
      <c r="C33" s="75" t="s">
        <v>594</v>
      </c>
      <c r="D33" s="13" t="s">
        <v>70</v>
      </c>
      <c r="E33" s="12" t="s">
        <v>71</v>
      </c>
      <c r="F33" s="14" t="s">
        <v>43</v>
      </c>
      <c r="G33" s="15" t="s">
        <v>78</v>
      </c>
      <c r="H33" s="12">
        <v>224</v>
      </c>
      <c r="I33" s="28" t="s">
        <v>20</v>
      </c>
      <c r="J33" s="16" t="s">
        <v>65</v>
      </c>
      <c r="K33" s="12"/>
      <c r="L33" s="12"/>
      <c r="M33" s="12"/>
    </row>
    <row r="34" spans="1:13">
      <c r="A34" s="12"/>
      <c r="B34" s="12"/>
      <c r="C34" s="12" t="s">
        <v>83</v>
      </c>
      <c r="D34" s="13" t="s">
        <v>70</v>
      </c>
      <c r="E34" s="12" t="s">
        <v>71</v>
      </c>
      <c r="F34" s="14" t="s">
        <v>75</v>
      </c>
      <c r="G34" s="30" t="s">
        <v>359</v>
      </c>
      <c r="H34" s="12">
        <v>224</v>
      </c>
      <c r="I34" s="28" t="s">
        <v>44</v>
      </c>
      <c r="J34" s="16" t="s">
        <v>65</v>
      </c>
      <c r="K34" s="12"/>
      <c r="L34" s="12"/>
      <c r="M34" s="12"/>
    </row>
    <row r="35" spans="1:13">
      <c r="A35" s="18"/>
      <c r="B35" s="18"/>
      <c r="C35" s="78" t="s">
        <v>96</v>
      </c>
      <c r="D35" s="13" t="s">
        <v>70</v>
      </c>
      <c r="E35" s="12" t="s">
        <v>71</v>
      </c>
      <c r="F35" s="14" t="s">
        <v>43</v>
      </c>
      <c r="G35" s="15" t="s">
        <v>78</v>
      </c>
      <c r="H35" s="12">
        <v>225</v>
      </c>
      <c r="I35" s="28" t="s">
        <v>20</v>
      </c>
      <c r="J35" s="16" t="s">
        <v>61</v>
      </c>
      <c r="K35" s="33"/>
      <c r="L35" s="20"/>
      <c r="M35" s="20"/>
    </row>
    <row r="36" spans="1:13">
      <c r="A36" s="12" t="s">
        <v>128</v>
      </c>
      <c r="B36" s="17" t="s">
        <v>127</v>
      </c>
      <c r="C36" s="12" t="s">
        <v>205</v>
      </c>
      <c r="D36" s="13" t="s">
        <v>70</v>
      </c>
      <c r="E36" s="12" t="s">
        <v>71</v>
      </c>
      <c r="F36" s="14" t="s">
        <v>43</v>
      </c>
      <c r="G36" s="15" t="s">
        <v>78</v>
      </c>
      <c r="H36" s="12">
        <v>225</v>
      </c>
      <c r="I36" s="28" t="s">
        <v>44</v>
      </c>
      <c r="J36" s="16" t="s">
        <v>61</v>
      </c>
      <c r="K36" s="12"/>
      <c r="L36" s="12"/>
      <c r="M36" s="12"/>
    </row>
    <row r="37" spans="1:13">
      <c r="A37" s="6"/>
      <c r="B37" s="6"/>
      <c r="C37" s="6" t="s">
        <v>201</v>
      </c>
      <c r="D37" s="5" t="s">
        <v>138</v>
      </c>
      <c r="E37" s="6" t="s">
        <v>362</v>
      </c>
      <c r="F37" s="6" t="s">
        <v>358</v>
      </c>
      <c r="G37" s="54" t="s">
        <v>359</v>
      </c>
      <c r="H37" s="6">
        <v>225</v>
      </c>
      <c r="I37" s="55" t="s">
        <v>44</v>
      </c>
      <c r="J37" s="56" t="s">
        <v>366</v>
      </c>
      <c r="K37" s="56"/>
      <c r="L37" s="56"/>
      <c r="M37" s="56"/>
    </row>
    <row r="38" spans="1:13">
      <c r="A38" s="6"/>
      <c r="B38" s="6"/>
      <c r="C38" s="6" t="s">
        <v>202</v>
      </c>
      <c r="D38" s="5" t="s">
        <v>138</v>
      </c>
      <c r="E38" s="6" t="s">
        <v>362</v>
      </c>
      <c r="F38" s="6" t="s">
        <v>141</v>
      </c>
      <c r="G38" s="54" t="s">
        <v>78</v>
      </c>
      <c r="H38" s="6">
        <v>225</v>
      </c>
      <c r="I38" s="55" t="s">
        <v>44</v>
      </c>
      <c r="J38" s="56" t="s">
        <v>360</v>
      </c>
      <c r="K38" s="56"/>
      <c r="L38" s="56"/>
      <c r="M38" s="56"/>
    </row>
    <row r="39" spans="1:13">
      <c r="A39" s="6"/>
      <c r="B39" s="6"/>
      <c r="C39" s="6" t="s">
        <v>203</v>
      </c>
      <c r="D39" s="5" t="s">
        <v>138</v>
      </c>
      <c r="E39" s="6" t="s">
        <v>362</v>
      </c>
      <c r="F39" s="6" t="s">
        <v>141</v>
      </c>
      <c r="G39" s="54" t="s">
        <v>78</v>
      </c>
      <c r="H39" s="6">
        <v>225</v>
      </c>
      <c r="I39" s="55" t="s">
        <v>44</v>
      </c>
      <c r="J39" s="56" t="s">
        <v>360</v>
      </c>
      <c r="K39" s="56"/>
      <c r="L39" s="56"/>
      <c r="M39" s="56"/>
    </row>
    <row r="40" spans="1:13">
      <c r="A40" s="12"/>
      <c r="B40" s="12"/>
      <c r="C40" s="12"/>
      <c r="D40" s="13" t="s">
        <v>70</v>
      </c>
      <c r="E40" s="12" t="s">
        <v>645</v>
      </c>
      <c r="F40" s="14" t="s">
        <v>43</v>
      </c>
      <c r="G40" s="15" t="s">
        <v>78</v>
      </c>
      <c r="H40" s="12">
        <v>225</v>
      </c>
      <c r="I40" s="28" t="s">
        <v>44</v>
      </c>
      <c r="J40" s="16" t="s">
        <v>65</v>
      </c>
      <c r="K40" s="12"/>
      <c r="L40" s="12"/>
      <c r="M40" s="12"/>
    </row>
    <row r="41" spans="1:13">
      <c r="A41" s="12"/>
      <c r="B41" s="12"/>
      <c r="C41" s="12"/>
      <c r="D41" s="13" t="s">
        <v>70</v>
      </c>
      <c r="E41" s="12" t="s">
        <v>646</v>
      </c>
      <c r="F41" s="14" t="s">
        <v>43</v>
      </c>
      <c r="G41" s="15" t="s">
        <v>78</v>
      </c>
      <c r="H41" s="12">
        <v>225</v>
      </c>
      <c r="I41" s="28" t="s">
        <v>44</v>
      </c>
      <c r="J41" s="16" t="s">
        <v>65</v>
      </c>
      <c r="K41" s="12"/>
      <c r="L41" s="12"/>
      <c r="M41" s="12"/>
    </row>
    <row r="42" spans="1:13">
      <c r="A42" s="12" t="s">
        <v>95</v>
      </c>
      <c r="B42" s="12" t="s">
        <v>673</v>
      </c>
      <c r="C42" s="75" t="s">
        <v>655</v>
      </c>
      <c r="D42" s="13" t="s">
        <v>70</v>
      </c>
      <c r="E42" s="12" t="s">
        <v>71</v>
      </c>
      <c r="F42" s="14" t="s">
        <v>43</v>
      </c>
      <c r="G42" s="15" t="s">
        <v>78</v>
      </c>
      <c r="H42" s="12">
        <v>225</v>
      </c>
      <c r="I42" s="28" t="s">
        <v>44</v>
      </c>
      <c r="J42" s="16" t="s">
        <v>65</v>
      </c>
      <c r="K42" s="12"/>
      <c r="L42" s="12"/>
      <c r="M42" s="12"/>
    </row>
    <row r="43" spans="1:13">
      <c r="A43" s="6"/>
      <c r="B43" s="6"/>
      <c r="C43" s="6" t="s">
        <v>204</v>
      </c>
      <c r="D43" s="5" t="s">
        <v>138</v>
      </c>
      <c r="E43" s="6" t="s">
        <v>362</v>
      </c>
      <c r="F43" s="6" t="s">
        <v>141</v>
      </c>
      <c r="G43" s="54" t="s">
        <v>78</v>
      </c>
      <c r="H43" s="6">
        <v>225</v>
      </c>
      <c r="I43" s="55" t="s">
        <v>44</v>
      </c>
      <c r="J43" s="56" t="s">
        <v>361</v>
      </c>
      <c r="K43" s="56"/>
      <c r="L43" s="56"/>
      <c r="M43" s="56"/>
    </row>
    <row r="44" spans="1:13">
      <c r="A44" s="18"/>
      <c r="B44" s="18"/>
      <c r="C44" s="18" t="s">
        <v>766</v>
      </c>
      <c r="D44" s="19" t="s">
        <v>138</v>
      </c>
      <c r="E44" s="18" t="s">
        <v>362</v>
      </c>
      <c r="F44" s="18" t="s">
        <v>41</v>
      </c>
      <c r="G44" s="30" t="s">
        <v>562</v>
      </c>
      <c r="H44" s="18">
        <v>330</v>
      </c>
      <c r="I44" s="28" t="s">
        <v>22</v>
      </c>
      <c r="J44" s="20" t="s">
        <v>64</v>
      </c>
      <c r="K44" s="33"/>
      <c r="L44" s="20"/>
      <c r="M44" s="20"/>
    </row>
    <row r="45" spans="1:13">
      <c r="A45" s="18"/>
      <c r="B45" s="18"/>
      <c r="C45" s="18" t="s">
        <v>586</v>
      </c>
      <c r="D45" s="19" t="s">
        <v>138</v>
      </c>
      <c r="E45" s="18" t="s">
        <v>362</v>
      </c>
      <c r="F45" s="18" t="s">
        <v>41</v>
      </c>
      <c r="G45" s="30" t="s">
        <v>562</v>
      </c>
      <c r="H45" s="18">
        <v>330</v>
      </c>
      <c r="I45" s="28" t="s">
        <v>22</v>
      </c>
      <c r="J45" s="20" t="s">
        <v>64</v>
      </c>
      <c r="K45" s="33"/>
      <c r="L45" s="20"/>
      <c r="M45" s="20"/>
    </row>
    <row r="46" spans="1:13">
      <c r="A46" s="6"/>
      <c r="B46" s="6"/>
      <c r="C46" s="6" t="s">
        <v>583</v>
      </c>
      <c r="D46" s="5" t="s">
        <v>138</v>
      </c>
      <c r="E46" s="6" t="s">
        <v>362</v>
      </c>
      <c r="F46" s="6" t="s">
        <v>41</v>
      </c>
      <c r="G46" s="54" t="s">
        <v>562</v>
      </c>
      <c r="H46" s="6">
        <v>391</v>
      </c>
      <c r="I46" s="55" t="s">
        <v>20</v>
      </c>
      <c r="J46" s="56" t="s">
        <v>64</v>
      </c>
      <c r="K46" s="68"/>
      <c r="L46" s="56"/>
      <c r="M46" s="56"/>
    </row>
    <row r="47" spans="1:13">
      <c r="A47" s="18"/>
      <c r="B47" s="18"/>
      <c r="C47" s="18" t="s">
        <v>763</v>
      </c>
      <c r="D47" s="19" t="s">
        <v>138</v>
      </c>
      <c r="E47" s="18" t="s">
        <v>362</v>
      </c>
      <c r="F47" s="18" t="s">
        <v>40</v>
      </c>
      <c r="G47" s="30" t="s">
        <v>562</v>
      </c>
      <c r="H47" s="18">
        <v>391</v>
      </c>
      <c r="I47" s="28" t="s">
        <v>92</v>
      </c>
      <c r="J47" s="20" t="s">
        <v>64</v>
      </c>
      <c r="K47" s="33"/>
      <c r="L47" s="20"/>
      <c r="M47" s="20"/>
    </row>
    <row r="48" spans="1:13">
      <c r="A48" s="18"/>
      <c r="B48" s="18"/>
      <c r="C48" s="18" t="s">
        <v>760</v>
      </c>
      <c r="D48" s="19" t="s">
        <v>138</v>
      </c>
      <c r="E48" s="18" t="s">
        <v>362</v>
      </c>
      <c r="F48" s="18" t="s">
        <v>41</v>
      </c>
      <c r="G48" s="30" t="s">
        <v>562</v>
      </c>
      <c r="H48" s="18">
        <v>470</v>
      </c>
      <c r="I48" s="28" t="s">
        <v>22</v>
      </c>
      <c r="J48" s="20" t="s">
        <v>64</v>
      </c>
      <c r="K48" s="33"/>
      <c r="L48" s="20"/>
      <c r="M48" s="20"/>
    </row>
    <row r="49" spans="1:13">
      <c r="A49" s="18"/>
      <c r="B49" s="18"/>
      <c r="C49" s="18" t="s">
        <v>580</v>
      </c>
      <c r="D49" s="19" t="s">
        <v>138</v>
      </c>
      <c r="E49" s="18" t="s">
        <v>362</v>
      </c>
      <c r="F49" s="18" t="s">
        <v>41</v>
      </c>
      <c r="G49" s="30" t="s">
        <v>562</v>
      </c>
      <c r="H49" s="18">
        <v>470</v>
      </c>
      <c r="I49" s="28" t="s">
        <v>22</v>
      </c>
      <c r="J49" s="20" t="s">
        <v>64</v>
      </c>
      <c r="K49" s="33"/>
      <c r="L49" s="20"/>
      <c r="M49" s="20"/>
    </row>
    <row r="50" spans="1:13">
      <c r="A50" s="18" t="s">
        <v>715</v>
      </c>
      <c r="B50" s="18"/>
      <c r="C50" s="18" t="s">
        <v>547</v>
      </c>
      <c r="D50" s="13" t="s">
        <v>70</v>
      </c>
      <c r="E50" s="18" t="s">
        <v>71</v>
      </c>
      <c r="F50" s="14" t="s">
        <v>43</v>
      </c>
      <c r="G50" s="15" t="s">
        <v>78</v>
      </c>
      <c r="H50" s="18">
        <v>474</v>
      </c>
      <c r="I50" s="28" t="s">
        <v>20</v>
      </c>
      <c r="J50" s="16" t="s">
        <v>65</v>
      </c>
      <c r="K50" s="59"/>
      <c r="L50" s="20"/>
      <c r="M50" s="20"/>
    </row>
    <row r="51" spans="1:13">
      <c r="A51" s="12"/>
      <c r="B51" s="12"/>
      <c r="C51" s="12"/>
      <c r="D51" s="13" t="s">
        <v>70</v>
      </c>
      <c r="E51" s="12" t="s">
        <v>648</v>
      </c>
      <c r="F51" s="14" t="s">
        <v>43</v>
      </c>
      <c r="G51" s="15" t="s">
        <v>78</v>
      </c>
      <c r="H51" s="12">
        <v>475</v>
      </c>
      <c r="I51" s="28" t="s">
        <v>44</v>
      </c>
      <c r="J51" s="16" t="s">
        <v>65</v>
      </c>
      <c r="K51" s="12"/>
      <c r="L51" s="12"/>
      <c r="M51" s="12"/>
    </row>
    <row r="52" spans="1:13">
      <c r="A52" s="4" t="s">
        <v>832</v>
      </c>
      <c r="B52" s="4"/>
      <c r="C52" s="4" t="s">
        <v>830</v>
      </c>
      <c r="D52" s="5" t="s">
        <v>5</v>
      </c>
      <c r="E52" s="6" t="s">
        <v>6</v>
      </c>
      <c r="F52" s="22" t="s">
        <v>41</v>
      </c>
      <c r="G52" s="54" t="s">
        <v>562</v>
      </c>
      <c r="H52" s="4">
        <v>121</v>
      </c>
      <c r="I52" s="55" t="s">
        <v>42</v>
      </c>
      <c r="J52" s="60" t="s">
        <v>375</v>
      </c>
      <c r="K52" s="4"/>
      <c r="L52" s="4"/>
      <c r="M52" s="4"/>
    </row>
    <row r="53" spans="1:13">
      <c r="A53" s="4" t="s">
        <v>834</v>
      </c>
      <c r="B53" s="4"/>
      <c r="C53" s="4" t="s">
        <v>833</v>
      </c>
      <c r="D53" s="5" t="s">
        <v>5</v>
      </c>
      <c r="E53" s="6" t="s">
        <v>6</v>
      </c>
      <c r="F53" s="22" t="s">
        <v>41</v>
      </c>
      <c r="G53" s="54" t="s">
        <v>562</v>
      </c>
      <c r="H53" s="4">
        <v>151</v>
      </c>
      <c r="I53" s="55" t="s">
        <v>42</v>
      </c>
      <c r="J53" s="60" t="s">
        <v>375</v>
      </c>
      <c r="K53" s="4"/>
      <c r="L53" s="4"/>
      <c r="M53" s="4"/>
    </row>
    <row r="54" spans="1:13">
      <c r="A54" s="4" t="s">
        <v>839</v>
      </c>
      <c r="B54" s="4"/>
      <c r="C54" s="4" t="s">
        <v>838</v>
      </c>
      <c r="D54" s="5" t="s">
        <v>5</v>
      </c>
      <c r="E54" s="6" t="s">
        <v>6</v>
      </c>
      <c r="F54" s="22" t="s">
        <v>41</v>
      </c>
      <c r="G54" s="54" t="s">
        <v>562</v>
      </c>
      <c r="H54" s="4">
        <v>221</v>
      </c>
      <c r="I54" s="55" t="s">
        <v>42</v>
      </c>
      <c r="J54" s="60" t="s">
        <v>375</v>
      </c>
      <c r="K54" s="4"/>
      <c r="L54" s="4"/>
      <c r="M54" s="4"/>
    </row>
    <row r="55" spans="1:13">
      <c r="A55" s="4"/>
      <c r="B55" s="4"/>
      <c r="C55" s="4" t="s">
        <v>835</v>
      </c>
      <c r="D55" s="5" t="s">
        <v>5</v>
      </c>
      <c r="E55" s="6" t="s">
        <v>6</v>
      </c>
      <c r="F55" s="22" t="s">
        <v>41</v>
      </c>
      <c r="G55" s="54" t="s">
        <v>562</v>
      </c>
      <c r="H55" s="4" t="s">
        <v>836</v>
      </c>
      <c r="I55" s="55" t="s">
        <v>837</v>
      </c>
      <c r="J55" s="60" t="s">
        <v>375</v>
      </c>
      <c r="K55" s="4"/>
      <c r="L55" s="4"/>
      <c r="M55" s="4"/>
    </row>
    <row r="56" spans="1:13">
      <c r="A56" s="4" t="s">
        <v>841</v>
      </c>
      <c r="B56" s="4"/>
      <c r="C56" s="4" t="s">
        <v>840</v>
      </c>
      <c r="D56" s="5" t="s">
        <v>5</v>
      </c>
      <c r="E56" s="6" t="s">
        <v>6</v>
      </c>
      <c r="F56" s="22" t="s">
        <v>41</v>
      </c>
      <c r="G56" s="54" t="s">
        <v>562</v>
      </c>
      <c r="H56" s="4">
        <v>471</v>
      </c>
      <c r="I56" s="55" t="s">
        <v>42</v>
      </c>
      <c r="J56" s="60" t="s">
        <v>375</v>
      </c>
      <c r="K56" s="4"/>
      <c r="L56" s="4"/>
      <c r="M56" s="4"/>
    </row>
    <row r="57" spans="1:13">
      <c r="A57" s="4" t="s">
        <v>843</v>
      </c>
      <c r="B57" s="4"/>
      <c r="C57" s="4" t="s">
        <v>842</v>
      </c>
      <c r="D57" s="5" t="s">
        <v>5</v>
      </c>
      <c r="E57" s="6" t="s">
        <v>6</v>
      </c>
      <c r="F57" s="22" t="s">
        <v>41</v>
      </c>
      <c r="G57" s="54" t="s">
        <v>562</v>
      </c>
      <c r="H57" s="4">
        <v>561</v>
      </c>
      <c r="I57" s="55" t="s">
        <v>42</v>
      </c>
      <c r="J57" s="60" t="s">
        <v>375</v>
      </c>
      <c r="K57" s="4"/>
      <c r="L57" s="4"/>
      <c r="M57" s="4"/>
    </row>
    <row r="58" spans="1:13">
      <c r="A58" s="4"/>
      <c r="B58" s="4"/>
      <c r="C58" s="4" t="s">
        <v>844</v>
      </c>
      <c r="D58" s="5" t="s">
        <v>5</v>
      </c>
      <c r="E58" s="6" t="s">
        <v>6</v>
      </c>
      <c r="F58" s="22" t="s">
        <v>41</v>
      </c>
      <c r="G58" s="54" t="s">
        <v>562</v>
      </c>
      <c r="H58" s="4" t="s">
        <v>845</v>
      </c>
      <c r="I58" s="55" t="s">
        <v>846</v>
      </c>
      <c r="J58" s="60" t="s">
        <v>375</v>
      </c>
      <c r="K58" s="4"/>
      <c r="L58" s="4"/>
      <c r="M58" s="4"/>
    </row>
    <row r="59" spans="1:13">
      <c r="A59" s="4" t="s">
        <v>848</v>
      </c>
      <c r="B59" s="4"/>
      <c r="C59" s="4" t="s">
        <v>847</v>
      </c>
      <c r="D59" s="5" t="s">
        <v>5</v>
      </c>
      <c r="E59" s="6" t="s">
        <v>6</v>
      </c>
      <c r="F59" s="6" t="s">
        <v>40</v>
      </c>
      <c r="G59" s="54" t="s">
        <v>562</v>
      </c>
      <c r="H59" s="4">
        <v>223</v>
      </c>
      <c r="I59" s="55" t="s">
        <v>20</v>
      </c>
      <c r="J59" s="56" t="s">
        <v>63</v>
      </c>
      <c r="K59" s="4"/>
      <c r="L59" s="4"/>
      <c r="M59" s="4"/>
    </row>
    <row r="60" spans="1:13">
      <c r="A60" s="4" t="s">
        <v>850</v>
      </c>
      <c r="B60" s="4"/>
      <c r="C60" s="4" t="s">
        <v>849</v>
      </c>
      <c r="D60" s="5" t="s">
        <v>5</v>
      </c>
      <c r="E60" s="6" t="s">
        <v>6</v>
      </c>
      <c r="F60" s="6" t="s">
        <v>40</v>
      </c>
      <c r="G60" s="54" t="s">
        <v>562</v>
      </c>
      <c r="H60" s="4">
        <v>223</v>
      </c>
      <c r="I60" s="55" t="s">
        <v>20</v>
      </c>
      <c r="J60" s="56" t="s">
        <v>64</v>
      </c>
      <c r="K60" s="4"/>
      <c r="L60" s="4"/>
      <c r="M60" s="4"/>
    </row>
    <row r="61" spans="1:13">
      <c r="A61" s="4"/>
      <c r="B61" s="4"/>
      <c r="C61" s="4" t="s">
        <v>851</v>
      </c>
      <c r="D61" s="5" t="s">
        <v>5</v>
      </c>
      <c r="E61" s="6" t="s">
        <v>6</v>
      </c>
      <c r="F61" s="6" t="s">
        <v>40</v>
      </c>
      <c r="G61" s="54" t="s">
        <v>562</v>
      </c>
      <c r="H61" s="4">
        <v>333</v>
      </c>
      <c r="I61" s="55" t="s">
        <v>20</v>
      </c>
      <c r="J61" s="56" t="s">
        <v>64</v>
      </c>
      <c r="K61" s="4"/>
      <c r="L61" s="4"/>
      <c r="M61" s="4"/>
    </row>
    <row r="62" spans="1:13">
      <c r="A62" s="4"/>
      <c r="B62" s="4"/>
      <c r="C62" s="4" t="s">
        <v>852</v>
      </c>
      <c r="D62" s="5" t="s">
        <v>5</v>
      </c>
      <c r="E62" s="6" t="s">
        <v>6</v>
      </c>
      <c r="F62" s="6" t="s">
        <v>40</v>
      </c>
      <c r="G62" s="54" t="s">
        <v>562</v>
      </c>
      <c r="H62" s="4">
        <v>473</v>
      </c>
      <c r="I62" s="55" t="s">
        <v>20</v>
      </c>
      <c r="J62" s="56" t="s">
        <v>64</v>
      </c>
      <c r="K62" s="4"/>
      <c r="L62" s="4"/>
      <c r="M62" s="4"/>
    </row>
    <row r="63" spans="1:13">
      <c r="A63" s="4" t="s">
        <v>857</v>
      </c>
      <c r="B63" s="4"/>
      <c r="C63" s="4" t="s">
        <v>853</v>
      </c>
      <c r="D63" s="5" t="s">
        <v>108</v>
      </c>
      <c r="E63" s="6" t="s">
        <v>371</v>
      </c>
      <c r="F63" s="6" t="s">
        <v>41</v>
      </c>
      <c r="G63" s="54" t="s">
        <v>562</v>
      </c>
      <c r="H63" s="4">
        <v>332</v>
      </c>
      <c r="I63" s="55" t="s">
        <v>42</v>
      </c>
      <c r="J63" s="56" t="s">
        <v>64</v>
      </c>
      <c r="K63" s="4"/>
      <c r="L63" s="4"/>
      <c r="M63" s="4"/>
    </row>
    <row r="64" spans="1:13">
      <c r="A64" s="4" t="s">
        <v>858</v>
      </c>
      <c r="B64" s="4"/>
      <c r="C64" s="4" t="s">
        <v>854</v>
      </c>
      <c r="D64" s="5" t="s">
        <v>108</v>
      </c>
      <c r="E64" s="6" t="s">
        <v>371</v>
      </c>
      <c r="F64" s="6" t="s">
        <v>40</v>
      </c>
      <c r="G64" s="54" t="s">
        <v>562</v>
      </c>
      <c r="H64" s="4">
        <v>222</v>
      </c>
      <c r="I64" s="55" t="s">
        <v>20</v>
      </c>
      <c r="J64" s="56" t="s">
        <v>64</v>
      </c>
      <c r="K64" s="4"/>
      <c r="L64" s="4"/>
      <c r="M64" s="4"/>
    </row>
    <row r="65" spans="1:13">
      <c r="A65" s="4" t="s">
        <v>859</v>
      </c>
      <c r="B65" s="4"/>
      <c r="C65" s="4" t="s">
        <v>855</v>
      </c>
      <c r="D65" s="5" t="s">
        <v>108</v>
      </c>
      <c r="E65" s="6" t="s">
        <v>371</v>
      </c>
      <c r="F65" s="6" t="s">
        <v>40</v>
      </c>
      <c r="G65" s="54" t="s">
        <v>562</v>
      </c>
      <c r="H65" s="4">
        <v>472</v>
      </c>
      <c r="I65" s="55" t="s">
        <v>20</v>
      </c>
      <c r="J65" s="56" t="s">
        <v>64</v>
      </c>
      <c r="K65" s="4"/>
      <c r="L65" s="4"/>
      <c r="M65" s="4"/>
    </row>
    <row r="66" spans="1:13">
      <c r="A66" s="4" t="s">
        <v>861</v>
      </c>
      <c r="B66" s="4" t="s">
        <v>856</v>
      </c>
      <c r="C66" s="4"/>
      <c r="D66" s="5" t="s">
        <v>108</v>
      </c>
      <c r="E66" s="6" t="s">
        <v>371</v>
      </c>
      <c r="F66" s="6" t="s">
        <v>141</v>
      </c>
      <c r="G66" s="54" t="s">
        <v>78</v>
      </c>
      <c r="H66" s="4">
        <v>226</v>
      </c>
      <c r="I66" s="55" t="s">
        <v>44</v>
      </c>
      <c r="J66" s="56" t="s">
        <v>65</v>
      </c>
      <c r="K66" s="4"/>
      <c r="L66" s="4"/>
      <c r="M66" s="4"/>
    </row>
    <row r="67" spans="1:13">
      <c r="A67" s="6" t="s">
        <v>617</v>
      </c>
      <c r="B67" s="6" t="s">
        <v>136</v>
      </c>
      <c r="C67" s="76" t="s">
        <v>637</v>
      </c>
      <c r="D67" s="5" t="s">
        <v>5</v>
      </c>
      <c r="E67" s="6" t="s">
        <v>6</v>
      </c>
      <c r="F67" s="6" t="s">
        <v>40</v>
      </c>
      <c r="G67" s="54" t="s">
        <v>562</v>
      </c>
      <c r="H67" s="6">
        <v>104</v>
      </c>
      <c r="I67" s="55" t="s">
        <v>20</v>
      </c>
      <c r="J67" s="56" t="s">
        <v>62</v>
      </c>
      <c r="K67" s="56"/>
      <c r="L67" s="56"/>
      <c r="M67" s="56"/>
    </row>
    <row r="68" spans="1:13">
      <c r="A68" s="6" t="s">
        <v>9</v>
      </c>
      <c r="B68" s="6"/>
      <c r="C68" s="6" t="s">
        <v>592</v>
      </c>
      <c r="D68" s="5" t="s">
        <v>5</v>
      </c>
      <c r="E68" s="6" t="s">
        <v>6</v>
      </c>
      <c r="F68" s="6" t="s">
        <v>43</v>
      </c>
      <c r="G68" s="54" t="s">
        <v>78</v>
      </c>
      <c r="H68" s="6">
        <v>104</v>
      </c>
      <c r="I68" s="55" t="s">
        <v>20</v>
      </c>
      <c r="J68" s="56" t="s">
        <v>63</v>
      </c>
      <c r="K68" s="56"/>
      <c r="L68" s="56"/>
      <c r="M68" s="56"/>
    </row>
    <row r="69" spans="1:13">
      <c r="A69" s="18" t="s">
        <v>558</v>
      </c>
      <c r="B69" s="18"/>
      <c r="C69" s="74" t="s">
        <v>550</v>
      </c>
      <c r="D69" s="19" t="s">
        <v>5</v>
      </c>
      <c r="E69" s="18" t="s">
        <v>6</v>
      </c>
      <c r="F69" s="18" t="s">
        <v>40</v>
      </c>
      <c r="G69" s="30" t="s">
        <v>562</v>
      </c>
      <c r="H69" s="18">
        <v>104</v>
      </c>
      <c r="I69" s="28" t="s">
        <v>20</v>
      </c>
      <c r="J69" s="20" t="s">
        <v>63</v>
      </c>
      <c r="K69" s="27"/>
      <c r="L69" s="20"/>
      <c r="M69" s="20"/>
    </row>
    <row r="70" spans="1:13">
      <c r="A70" s="18" t="s">
        <v>159</v>
      </c>
      <c r="B70" s="18"/>
      <c r="C70" s="78" t="s">
        <v>661</v>
      </c>
      <c r="D70" s="19" t="s">
        <v>5</v>
      </c>
      <c r="E70" s="18" t="s">
        <v>147</v>
      </c>
      <c r="F70" s="18" t="s">
        <v>40</v>
      </c>
      <c r="G70" s="30" t="s">
        <v>562</v>
      </c>
      <c r="H70" s="18">
        <v>104</v>
      </c>
      <c r="I70" s="28" t="s">
        <v>92</v>
      </c>
      <c r="J70" s="20" t="s">
        <v>64</v>
      </c>
      <c r="K70" s="20"/>
      <c r="L70" s="20"/>
      <c r="M70" s="20"/>
    </row>
    <row r="71" spans="1:13">
      <c r="A71" s="6" t="s">
        <v>704</v>
      </c>
      <c r="B71" s="6" t="s">
        <v>545</v>
      </c>
      <c r="C71" s="6" t="s">
        <v>705</v>
      </c>
      <c r="D71" s="5" t="s">
        <v>89</v>
      </c>
      <c r="E71" s="6" t="s">
        <v>147</v>
      </c>
      <c r="F71" s="6" t="s">
        <v>141</v>
      </c>
      <c r="G71" s="54" t="s">
        <v>78</v>
      </c>
      <c r="H71" s="6">
        <v>105</v>
      </c>
      <c r="I71" s="55" t="s">
        <v>92</v>
      </c>
      <c r="J71" s="56" t="s">
        <v>364</v>
      </c>
      <c r="K71" s="68"/>
      <c r="L71" s="56"/>
      <c r="M71" s="56"/>
    </row>
    <row r="72" spans="1:13">
      <c r="A72" s="12"/>
      <c r="B72" s="12"/>
      <c r="C72" s="12" t="s">
        <v>555</v>
      </c>
      <c r="D72" s="13" t="s">
        <v>89</v>
      </c>
      <c r="E72" s="12" t="s">
        <v>6</v>
      </c>
      <c r="F72" s="14" t="s">
        <v>98</v>
      </c>
      <c r="G72" s="15" t="s">
        <v>562</v>
      </c>
      <c r="H72" s="12">
        <v>105</v>
      </c>
      <c r="I72" s="28" t="s">
        <v>20</v>
      </c>
      <c r="J72" s="16" t="s">
        <v>61</v>
      </c>
      <c r="K72" s="34"/>
      <c r="L72" s="12"/>
      <c r="M72" s="12"/>
    </row>
    <row r="73" spans="1:13">
      <c r="A73" s="6" t="s">
        <v>711</v>
      </c>
      <c r="B73" s="6"/>
      <c r="C73" s="6" t="s">
        <v>608</v>
      </c>
      <c r="D73" s="5" t="s">
        <v>89</v>
      </c>
      <c r="E73" s="6" t="s">
        <v>147</v>
      </c>
      <c r="F73" s="6" t="s">
        <v>141</v>
      </c>
      <c r="G73" s="54" t="s">
        <v>78</v>
      </c>
      <c r="H73" s="6">
        <v>105</v>
      </c>
      <c r="I73" s="55" t="s">
        <v>44</v>
      </c>
      <c r="J73" s="56" t="s">
        <v>364</v>
      </c>
      <c r="K73" s="68"/>
      <c r="L73" s="56"/>
      <c r="M73" s="56"/>
    </row>
    <row r="74" spans="1:13">
      <c r="A74" s="18"/>
      <c r="B74" s="18"/>
      <c r="C74" s="18" t="s">
        <v>579</v>
      </c>
      <c r="D74" s="13" t="s">
        <v>89</v>
      </c>
      <c r="E74" s="12" t="s">
        <v>6</v>
      </c>
      <c r="F74" s="14" t="s">
        <v>98</v>
      </c>
      <c r="G74" s="15" t="s">
        <v>562</v>
      </c>
      <c r="H74" s="12">
        <v>105</v>
      </c>
      <c r="I74" s="28" t="s">
        <v>44</v>
      </c>
      <c r="J74" s="16" t="s">
        <v>61</v>
      </c>
      <c r="K74" s="20"/>
      <c r="L74" s="20"/>
      <c r="M74" s="20"/>
    </row>
    <row r="75" spans="1:13">
      <c r="A75" s="6" t="s">
        <v>557</v>
      </c>
      <c r="B75" s="76" t="s">
        <v>538</v>
      </c>
      <c r="C75" s="6" t="s">
        <v>271</v>
      </c>
      <c r="D75" s="5" t="s">
        <v>89</v>
      </c>
      <c r="E75" s="6" t="s">
        <v>147</v>
      </c>
      <c r="F75" s="6" t="s">
        <v>141</v>
      </c>
      <c r="G75" s="54" t="s">
        <v>78</v>
      </c>
      <c r="H75" s="6">
        <v>105</v>
      </c>
      <c r="I75" s="55" t="s">
        <v>92</v>
      </c>
      <c r="J75" s="56" t="s">
        <v>367</v>
      </c>
      <c r="K75" s="69"/>
      <c r="L75" s="56">
        <v>112</v>
      </c>
      <c r="M75" s="56"/>
    </row>
    <row r="76" spans="1:13">
      <c r="A76" s="6"/>
      <c r="B76" s="6"/>
      <c r="C76" s="6" t="s">
        <v>269</v>
      </c>
      <c r="D76" s="5" t="s">
        <v>89</v>
      </c>
      <c r="E76" s="6" t="s">
        <v>147</v>
      </c>
      <c r="F76" s="6" t="s">
        <v>141</v>
      </c>
      <c r="G76" s="54" t="s">
        <v>78</v>
      </c>
      <c r="H76" s="6">
        <v>105</v>
      </c>
      <c r="I76" s="55" t="s">
        <v>92</v>
      </c>
      <c r="J76" s="56" t="s">
        <v>367</v>
      </c>
      <c r="K76" s="68"/>
      <c r="L76" s="56"/>
      <c r="M76" s="56"/>
    </row>
    <row r="77" spans="1:13">
      <c r="A77" s="6"/>
      <c r="B77" s="6"/>
      <c r="C77" s="6" t="s">
        <v>783</v>
      </c>
      <c r="D77" s="5" t="s">
        <v>89</v>
      </c>
      <c r="E77" s="4" t="s">
        <v>790</v>
      </c>
      <c r="F77" s="6" t="s">
        <v>75</v>
      </c>
      <c r="G77" s="54" t="str">
        <f>VLOOKUP(F77,材質!A:B,2,0)</f>
        <v xml:space="preserve">-55 to 105℃  </v>
      </c>
      <c r="H77" s="6">
        <v>105</v>
      </c>
      <c r="I77" s="55" t="s">
        <v>92</v>
      </c>
      <c r="J77" s="56" t="s">
        <v>62</v>
      </c>
      <c r="K77" s="57"/>
      <c r="L77" s="56"/>
      <c r="M77" s="53"/>
    </row>
    <row r="78" spans="1:13">
      <c r="A78" s="6" t="s">
        <v>712</v>
      </c>
      <c r="B78" s="6"/>
      <c r="C78" s="6" t="s">
        <v>270</v>
      </c>
      <c r="D78" s="5" t="s">
        <v>89</v>
      </c>
      <c r="E78" s="6" t="s">
        <v>147</v>
      </c>
      <c r="F78" s="6" t="s">
        <v>141</v>
      </c>
      <c r="G78" s="54" t="s">
        <v>78</v>
      </c>
      <c r="H78" s="6">
        <v>105</v>
      </c>
      <c r="I78" s="55" t="s">
        <v>44</v>
      </c>
      <c r="J78" s="56" t="s">
        <v>367</v>
      </c>
      <c r="K78" s="68"/>
      <c r="L78" s="56"/>
      <c r="M78" s="56"/>
    </row>
    <row r="79" spans="1:13">
      <c r="A79" s="18" t="s">
        <v>151</v>
      </c>
      <c r="B79" s="78" t="s">
        <v>399</v>
      </c>
      <c r="C79" s="18"/>
      <c r="D79" s="19" t="s">
        <v>5</v>
      </c>
      <c r="E79" s="18" t="s">
        <v>147</v>
      </c>
      <c r="F79" s="18" t="s">
        <v>141</v>
      </c>
      <c r="G79" s="30" t="s">
        <v>78</v>
      </c>
      <c r="H79" s="18">
        <v>105</v>
      </c>
      <c r="I79" s="28" t="s">
        <v>92</v>
      </c>
      <c r="J79" s="20" t="s">
        <v>63</v>
      </c>
      <c r="K79" s="65"/>
      <c r="L79" s="20"/>
      <c r="M79" s="20"/>
    </row>
    <row r="80" spans="1:13">
      <c r="A80" s="6" t="s">
        <v>151</v>
      </c>
      <c r="B80" s="6"/>
      <c r="C80" s="6" t="s">
        <v>693</v>
      </c>
      <c r="D80" s="5" t="s">
        <v>5</v>
      </c>
      <c r="E80" s="6" t="s">
        <v>147</v>
      </c>
      <c r="F80" s="6" t="s">
        <v>141</v>
      </c>
      <c r="G80" s="54" t="s">
        <v>78</v>
      </c>
      <c r="H80" s="6">
        <v>105</v>
      </c>
      <c r="I80" s="55" t="s">
        <v>92</v>
      </c>
      <c r="J80" s="56" t="s">
        <v>63</v>
      </c>
      <c r="K80" s="57"/>
      <c r="L80" s="56"/>
      <c r="M80" s="53"/>
    </row>
    <row r="81" spans="1:13">
      <c r="A81" s="12" t="s">
        <v>129</v>
      </c>
      <c r="B81" s="75" t="s">
        <v>598</v>
      </c>
      <c r="C81" s="12"/>
      <c r="D81" s="13" t="s">
        <v>89</v>
      </c>
      <c r="E81" s="18" t="s">
        <v>147</v>
      </c>
      <c r="F81" s="14" t="s">
        <v>43</v>
      </c>
      <c r="G81" s="15" t="s">
        <v>78</v>
      </c>
      <c r="H81" s="12">
        <v>105</v>
      </c>
      <c r="I81" s="28" t="s">
        <v>20</v>
      </c>
      <c r="J81" s="16" t="s">
        <v>134</v>
      </c>
      <c r="K81" s="34"/>
      <c r="L81" s="12"/>
      <c r="M81" s="12"/>
    </row>
    <row r="82" spans="1:13">
      <c r="A82" s="6"/>
      <c r="B82" s="6"/>
      <c r="C82" s="6" t="s">
        <v>707</v>
      </c>
      <c r="D82" s="5" t="s">
        <v>89</v>
      </c>
      <c r="E82" s="6" t="s">
        <v>147</v>
      </c>
      <c r="F82" s="6" t="s">
        <v>141</v>
      </c>
      <c r="G82" s="54" t="s">
        <v>78</v>
      </c>
      <c r="H82" s="6">
        <v>105</v>
      </c>
      <c r="I82" s="55" t="s">
        <v>92</v>
      </c>
      <c r="J82" s="56" t="s">
        <v>134</v>
      </c>
      <c r="K82" s="57"/>
      <c r="L82" s="56"/>
      <c r="M82" s="53"/>
    </row>
    <row r="83" spans="1:13">
      <c r="A83" s="6"/>
      <c r="B83" s="6"/>
      <c r="C83" s="6" t="s">
        <v>267</v>
      </c>
      <c r="D83" s="5" t="s">
        <v>89</v>
      </c>
      <c r="E83" s="6" t="s">
        <v>147</v>
      </c>
      <c r="F83" s="6" t="s">
        <v>363</v>
      </c>
      <c r="G83" s="54" t="s">
        <v>359</v>
      </c>
      <c r="H83" s="6">
        <v>105</v>
      </c>
      <c r="I83" s="55" t="s">
        <v>92</v>
      </c>
      <c r="J83" s="56" t="s">
        <v>360</v>
      </c>
      <c r="K83" s="68"/>
      <c r="L83" s="56"/>
      <c r="M83" s="56"/>
    </row>
    <row r="84" spans="1:13">
      <c r="A84" s="6"/>
      <c r="B84" s="6"/>
      <c r="C84" s="6" t="s">
        <v>273</v>
      </c>
      <c r="D84" s="5" t="s">
        <v>89</v>
      </c>
      <c r="E84" s="6" t="s">
        <v>147</v>
      </c>
      <c r="F84" s="6" t="s">
        <v>141</v>
      </c>
      <c r="G84" s="54" t="s">
        <v>78</v>
      </c>
      <c r="H84" s="6">
        <v>105</v>
      </c>
      <c r="I84" s="55" t="s">
        <v>44</v>
      </c>
      <c r="J84" s="56" t="s">
        <v>360</v>
      </c>
      <c r="K84" s="68"/>
      <c r="L84" s="56"/>
      <c r="M84" s="56"/>
    </row>
    <row r="85" spans="1:13">
      <c r="A85" s="6"/>
      <c r="B85" s="6"/>
      <c r="C85" s="6" t="s">
        <v>275</v>
      </c>
      <c r="D85" s="5" t="s">
        <v>89</v>
      </c>
      <c r="E85" s="6" t="s">
        <v>147</v>
      </c>
      <c r="F85" s="6" t="s">
        <v>363</v>
      </c>
      <c r="G85" s="54" t="s">
        <v>359</v>
      </c>
      <c r="H85" s="6">
        <v>105</v>
      </c>
      <c r="I85" s="55" t="s">
        <v>44</v>
      </c>
      <c r="J85" s="56" t="s">
        <v>360</v>
      </c>
      <c r="K85" s="68"/>
      <c r="L85" s="56"/>
      <c r="M85" s="56"/>
    </row>
    <row r="86" spans="1:13">
      <c r="A86" s="6"/>
      <c r="B86" s="6"/>
      <c r="C86" s="6" t="s">
        <v>266</v>
      </c>
      <c r="D86" s="5" t="s">
        <v>89</v>
      </c>
      <c r="E86" s="6" t="s">
        <v>147</v>
      </c>
      <c r="F86" s="6" t="s">
        <v>363</v>
      </c>
      <c r="G86" s="54" t="s">
        <v>359</v>
      </c>
      <c r="H86" s="6">
        <v>105</v>
      </c>
      <c r="I86" s="55" t="s">
        <v>44</v>
      </c>
      <c r="J86" s="56" t="s">
        <v>360</v>
      </c>
      <c r="K86" s="68"/>
      <c r="L86" s="56"/>
      <c r="M86" s="56"/>
    </row>
    <row r="87" spans="1:13">
      <c r="A87" s="12"/>
      <c r="B87" s="12"/>
      <c r="C87" s="12" t="s">
        <v>99</v>
      </c>
      <c r="D87" s="13" t="s">
        <v>89</v>
      </c>
      <c r="E87" s="12" t="s">
        <v>6</v>
      </c>
      <c r="F87" s="14" t="s">
        <v>43</v>
      </c>
      <c r="G87" s="15" t="s">
        <v>78</v>
      </c>
      <c r="H87" s="12">
        <v>105</v>
      </c>
      <c r="I87" s="28" t="s">
        <v>20</v>
      </c>
      <c r="J87" s="16" t="s">
        <v>64</v>
      </c>
      <c r="K87" s="34"/>
      <c r="L87" s="12"/>
      <c r="M87" s="12"/>
    </row>
    <row r="88" spans="1:13">
      <c r="A88" s="6" t="s">
        <v>556</v>
      </c>
      <c r="B88" s="6" t="s">
        <v>552</v>
      </c>
      <c r="C88" s="6" t="s">
        <v>272</v>
      </c>
      <c r="D88" s="5" t="s">
        <v>89</v>
      </c>
      <c r="E88" s="6" t="s">
        <v>147</v>
      </c>
      <c r="F88" s="6" t="s">
        <v>141</v>
      </c>
      <c r="G88" s="54" t="s">
        <v>78</v>
      </c>
      <c r="H88" s="6">
        <v>105</v>
      </c>
      <c r="I88" s="55" t="s">
        <v>92</v>
      </c>
      <c r="J88" s="56" t="s">
        <v>361</v>
      </c>
      <c r="K88" s="68"/>
      <c r="L88" s="56"/>
      <c r="M88" s="56"/>
    </row>
    <row r="89" spans="1:13">
      <c r="A89" s="6"/>
      <c r="B89" s="6"/>
      <c r="C89" s="6" t="s">
        <v>708</v>
      </c>
      <c r="D89" s="5" t="s">
        <v>89</v>
      </c>
      <c r="E89" s="6" t="s">
        <v>147</v>
      </c>
      <c r="F89" s="6" t="s">
        <v>141</v>
      </c>
      <c r="G89" s="54" t="s">
        <v>78</v>
      </c>
      <c r="H89" s="6">
        <v>105</v>
      </c>
      <c r="I89" s="55" t="s">
        <v>92</v>
      </c>
      <c r="J89" s="56" t="s">
        <v>361</v>
      </c>
      <c r="K89" s="57"/>
      <c r="L89" s="56"/>
      <c r="M89" s="53"/>
    </row>
    <row r="90" spans="1:13">
      <c r="A90" s="6"/>
      <c r="B90" s="6"/>
      <c r="C90" s="6" t="s">
        <v>606</v>
      </c>
      <c r="D90" s="5" t="s">
        <v>89</v>
      </c>
      <c r="E90" s="6" t="s">
        <v>147</v>
      </c>
      <c r="F90" s="6" t="s">
        <v>363</v>
      </c>
      <c r="G90" s="54" t="s">
        <v>359</v>
      </c>
      <c r="H90" s="6">
        <v>105</v>
      </c>
      <c r="I90" s="55" t="s">
        <v>92</v>
      </c>
      <c r="J90" s="56" t="s">
        <v>361</v>
      </c>
      <c r="K90" s="68"/>
      <c r="L90" s="56"/>
      <c r="M90" s="56"/>
    </row>
    <row r="91" spans="1:13">
      <c r="A91" s="18" t="s">
        <v>410</v>
      </c>
      <c r="B91" s="18"/>
      <c r="C91" s="74" t="s">
        <v>599</v>
      </c>
      <c r="D91" s="13" t="s">
        <v>89</v>
      </c>
      <c r="E91" s="12" t="s">
        <v>147</v>
      </c>
      <c r="F91" s="18" t="s">
        <v>40</v>
      </c>
      <c r="G91" s="30" t="s">
        <v>562</v>
      </c>
      <c r="H91" s="18">
        <v>105</v>
      </c>
      <c r="I91" s="28" t="s">
        <v>92</v>
      </c>
      <c r="J91" s="20" t="s">
        <v>65</v>
      </c>
      <c r="K91" s="33"/>
      <c r="L91" s="20"/>
      <c r="M91" s="20"/>
    </row>
    <row r="92" spans="1:13">
      <c r="A92" s="6"/>
      <c r="B92" s="6"/>
      <c r="C92" s="6" t="s">
        <v>607</v>
      </c>
      <c r="D92" s="5" t="s">
        <v>89</v>
      </c>
      <c r="E92" s="6" t="s">
        <v>147</v>
      </c>
      <c r="F92" s="6" t="s">
        <v>141</v>
      </c>
      <c r="G92" s="54" t="s">
        <v>78</v>
      </c>
      <c r="H92" s="6">
        <v>105</v>
      </c>
      <c r="I92" s="55" t="s">
        <v>44</v>
      </c>
      <c r="J92" s="56" t="s">
        <v>361</v>
      </c>
      <c r="K92" s="68"/>
      <c r="L92" s="56"/>
      <c r="M92" s="56"/>
    </row>
    <row r="93" spans="1:13">
      <c r="A93" s="6"/>
      <c r="B93" s="6"/>
      <c r="C93" s="6" t="s">
        <v>274</v>
      </c>
      <c r="D93" s="5" t="s">
        <v>89</v>
      </c>
      <c r="E93" s="6" t="s">
        <v>147</v>
      </c>
      <c r="F93" s="6" t="s">
        <v>363</v>
      </c>
      <c r="G93" s="54" t="s">
        <v>359</v>
      </c>
      <c r="H93" s="6">
        <v>105</v>
      </c>
      <c r="I93" s="55" t="s">
        <v>44</v>
      </c>
      <c r="J93" s="56" t="s">
        <v>361</v>
      </c>
      <c r="K93" s="68"/>
      <c r="L93" s="56"/>
      <c r="M93" s="56"/>
    </row>
    <row r="94" spans="1:13">
      <c r="A94" s="6"/>
      <c r="B94" s="6"/>
      <c r="C94" s="6" t="s">
        <v>268</v>
      </c>
      <c r="D94" s="5" t="s">
        <v>89</v>
      </c>
      <c r="E94" s="6" t="s">
        <v>147</v>
      </c>
      <c r="F94" s="6" t="s">
        <v>363</v>
      </c>
      <c r="G94" s="54" t="s">
        <v>359</v>
      </c>
      <c r="H94" s="6">
        <v>105</v>
      </c>
      <c r="I94" s="55" t="s">
        <v>44</v>
      </c>
      <c r="J94" s="56" t="s">
        <v>361</v>
      </c>
      <c r="K94" s="68"/>
      <c r="L94" s="56"/>
      <c r="M94" s="56"/>
    </row>
    <row r="95" spans="1:13">
      <c r="A95" s="18"/>
      <c r="B95" s="12"/>
      <c r="C95" s="18"/>
      <c r="D95" s="19" t="s">
        <v>89</v>
      </c>
      <c r="E95" s="18"/>
      <c r="F95" s="18" t="s">
        <v>141</v>
      </c>
      <c r="G95" s="30" t="s">
        <v>78</v>
      </c>
      <c r="H95" s="18">
        <v>106</v>
      </c>
      <c r="I95" s="28" t="s">
        <v>44</v>
      </c>
      <c r="J95" s="20" t="s">
        <v>364</v>
      </c>
      <c r="K95" s="20"/>
      <c r="L95" s="20"/>
      <c r="M95" s="20"/>
    </row>
    <row r="96" spans="1:13">
      <c r="A96" s="18" t="s">
        <v>409</v>
      </c>
      <c r="B96" s="79" t="s">
        <v>88</v>
      </c>
      <c r="C96" s="18" t="s">
        <v>265</v>
      </c>
      <c r="D96" s="19" t="s">
        <v>89</v>
      </c>
      <c r="E96" s="18" t="s">
        <v>147</v>
      </c>
      <c r="F96" s="18" t="s">
        <v>141</v>
      </c>
      <c r="G96" s="30" t="s">
        <v>78</v>
      </c>
      <c r="H96" s="18">
        <v>106</v>
      </c>
      <c r="I96" s="28" t="s">
        <v>44</v>
      </c>
      <c r="J96" s="20" t="s">
        <v>364</v>
      </c>
      <c r="K96" s="66"/>
      <c r="L96" s="20"/>
      <c r="M96" s="20"/>
    </row>
    <row r="97" spans="1:13">
      <c r="A97" s="6"/>
      <c r="B97" s="6"/>
      <c r="C97" s="6" t="s">
        <v>264</v>
      </c>
      <c r="D97" s="5" t="s">
        <v>89</v>
      </c>
      <c r="E97" s="6" t="s">
        <v>147</v>
      </c>
      <c r="F97" s="6" t="s">
        <v>141</v>
      </c>
      <c r="G97" s="54" t="s">
        <v>78</v>
      </c>
      <c r="H97" s="6">
        <v>106</v>
      </c>
      <c r="I97" s="55" t="s">
        <v>44</v>
      </c>
      <c r="J97" s="56" t="s">
        <v>366</v>
      </c>
      <c r="K97" s="56"/>
      <c r="L97" s="56"/>
      <c r="M97" s="56"/>
    </row>
    <row r="98" spans="1:13">
      <c r="A98" s="6"/>
      <c r="B98" s="6"/>
      <c r="C98" s="6" t="s">
        <v>262</v>
      </c>
      <c r="D98" s="5" t="s">
        <v>89</v>
      </c>
      <c r="E98" s="6" t="s">
        <v>147</v>
      </c>
      <c r="F98" s="6" t="s">
        <v>363</v>
      </c>
      <c r="G98" s="54" t="s">
        <v>359</v>
      </c>
      <c r="H98" s="6">
        <v>106</v>
      </c>
      <c r="I98" s="55" t="s">
        <v>44</v>
      </c>
      <c r="J98" s="56" t="s">
        <v>366</v>
      </c>
      <c r="K98" s="56"/>
      <c r="L98" s="56"/>
      <c r="M98" s="56"/>
    </row>
    <row r="99" spans="1:13">
      <c r="A99" s="6"/>
      <c r="B99" s="6"/>
      <c r="C99" s="6" t="s">
        <v>611</v>
      </c>
      <c r="D99" s="5" t="s">
        <v>89</v>
      </c>
      <c r="E99" s="6" t="s">
        <v>147</v>
      </c>
      <c r="F99" s="6" t="s">
        <v>141</v>
      </c>
      <c r="G99" s="54" t="s">
        <v>78</v>
      </c>
      <c r="H99" s="6">
        <v>106</v>
      </c>
      <c r="I99" s="55" t="s">
        <v>44</v>
      </c>
      <c r="J99" s="56" t="s">
        <v>360</v>
      </c>
      <c r="K99" s="56"/>
      <c r="L99" s="56"/>
      <c r="M99" s="56"/>
    </row>
    <row r="100" spans="1:13">
      <c r="A100" s="4" t="s">
        <v>106</v>
      </c>
      <c r="B100" s="77" t="s">
        <v>578</v>
      </c>
      <c r="C100" s="4" t="s">
        <v>577</v>
      </c>
      <c r="D100" s="29" t="s">
        <v>89</v>
      </c>
      <c r="E100" s="4" t="s">
        <v>6</v>
      </c>
      <c r="F100" s="22" t="s">
        <v>43</v>
      </c>
      <c r="G100" s="8" t="s">
        <v>78</v>
      </c>
      <c r="H100" s="4">
        <v>106</v>
      </c>
      <c r="I100" s="55" t="s">
        <v>44</v>
      </c>
      <c r="J100" s="60" t="s">
        <v>65</v>
      </c>
      <c r="K100" s="69"/>
      <c r="L100" s="4"/>
      <c r="M100" s="4"/>
    </row>
    <row r="101" spans="1:13">
      <c r="A101" s="6"/>
      <c r="B101" s="6"/>
      <c r="C101" s="6" t="s">
        <v>263</v>
      </c>
      <c r="D101" s="5" t="s">
        <v>89</v>
      </c>
      <c r="E101" s="6" t="s">
        <v>147</v>
      </c>
      <c r="F101" s="6" t="s">
        <v>363</v>
      </c>
      <c r="G101" s="54" t="s">
        <v>359</v>
      </c>
      <c r="H101" s="6">
        <v>106</v>
      </c>
      <c r="I101" s="55" t="s">
        <v>44</v>
      </c>
      <c r="J101" s="56" t="s">
        <v>361</v>
      </c>
      <c r="K101" s="56"/>
      <c r="L101" s="56"/>
      <c r="M101" s="56"/>
    </row>
    <row r="102" spans="1:13">
      <c r="A102" s="18" t="s">
        <v>185</v>
      </c>
      <c r="B102" s="18"/>
      <c r="C102" s="18" t="s">
        <v>184</v>
      </c>
      <c r="D102" s="19" t="s">
        <v>5</v>
      </c>
      <c r="E102" s="18" t="s">
        <v>147</v>
      </c>
      <c r="F102" s="18" t="s">
        <v>41</v>
      </c>
      <c r="G102" s="30" t="s">
        <v>562</v>
      </c>
      <c r="H102" s="18">
        <v>181</v>
      </c>
      <c r="I102" s="28" t="s">
        <v>42</v>
      </c>
      <c r="J102" s="20" t="s">
        <v>64</v>
      </c>
      <c r="K102" s="20"/>
      <c r="L102" s="20"/>
      <c r="M102" s="20"/>
    </row>
    <row r="103" spans="1:13">
      <c r="A103" s="18" t="s">
        <v>8</v>
      </c>
      <c r="B103" s="74" t="s">
        <v>663</v>
      </c>
      <c r="C103" s="18" t="s">
        <v>593</v>
      </c>
      <c r="D103" s="19" t="s">
        <v>5</v>
      </c>
      <c r="E103" s="18" t="s">
        <v>6</v>
      </c>
      <c r="F103" s="18" t="s">
        <v>43</v>
      </c>
      <c r="G103" s="30" t="s">
        <v>78</v>
      </c>
      <c r="H103" s="18">
        <v>225</v>
      </c>
      <c r="I103" s="28" t="s">
        <v>20</v>
      </c>
      <c r="J103" s="20" t="s">
        <v>61</v>
      </c>
      <c r="K103" s="66"/>
      <c r="L103" s="20"/>
      <c r="M103" s="20"/>
    </row>
    <row r="104" spans="1:13">
      <c r="A104" s="6"/>
      <c r="B104" s="6"/>
      <c r="C104" s="6" t="s">
        <v>241</v>
      </c>
      <c r="D104" s="5" t="s">
        <v>89</v>
      </c>
      <c r="E104" s="6" t="s">
        <v>147</v>
      </c>
      <c r="F104" s="6" t="s">
        <v>141</v>
      </c>
      <c r="G104" s="54" t="s">
        <v>78</v>
      </c>
      <c r="H104" s="6">
        <v>225</v>
      </c>
      <c r="I104" s="55" t="s">
        <v>92</v>
      </c>
      <c r="J104" s="56" t="s">
        <v>364</v>
      </c>
      <c r="K104" s="56"/>
      <c r="L104" s="56"/>
      <c r="M104" s="56"/>
    </row>
    <row r="105" spans="1:13">
      <c r="A105" s="6"/>
      <c r="B105" s="6"/>
      <c r="C105" s="6" t="s">
        <v>216</v>
      </c>
      <c r="D105" s="5" t="s">
        <v>89</v>
      </c>
      <c r="E105" s="6" t="s">
        <v>147</v>
      </c>
      <c r="F105" s="6" t="s">
        <v>363</v>
      </c>
      <c r="G105" s="54" t="s">
        <v>359</v>
      </c>
      <c r="H105" s="6">
        <v>225</v>
      </c>
      <c r="I105" s="55" t="s">
        <v>92</v>
      </c>
      <c r="J105" s="56" t="s">
        <v>364</v>
      </c>
      <c r="K105" s="56"/>
      <c r="L105" s="56"/>
      <c r="M105" s="56"/>
    </row>
    <row r="106" spans="1:13">
      <c r="A106" s="6"/>
      <c r="B106" s="6"/>
      <c r="C106" s="6" t="s">
        <v>217</v>
      </c>
      <c r="D106" s="5" t="s">
        <v>89</v>
      </c>
      <c r="E106" s="6" t="s">
        <v>147</v>
      </c>
      <c r="F106" s="6" t="s">
        <v>363</v>
      </c>
      <c r="G106" s="54" t="s">
        <v>359</v>
      </c>
      <c r="H106" s="6">
        <v>225</v>
      </c>
      <c r="I106" s="55" t="s">
        <v>92</v>
      </c>
      <c r="J106" s="56" t="s">
        <v>364</v>
      </c>
      <c r="K106" s="56"/>
      <c r="L106" s="56"/>
      <c r="M106" s="56"/>
    </row>
    <row r="107" spans="1:13">
      <c r="A107" s="6"/>
      <c r="B107" s="6"/>
      <c r="C107" s="6" t="s">
        <v>227</v>
      </c>
      <c r="D107" s="5" t="s">
        <v>89</v>
      </c>
      <c r="E107" s="6" t="s">
        <v>147</v>
      </c>
      <c r="F107" s="6" t="s">
        <v>365</v>
      </c>
      <c r="G107" s="54" t="s">
        <v>562</v>
      </c>
      <c r="H107" s="6">
        <v>225</v>
      </c>
      <c r="I107" s="55" t="s">
        <v>92</v>
      </c>
      <c r="J107" s="56" t="s">
        <v>364</v>
      </c>
      <c r="K107" s="56"/>
      <c r="L107" s="56"/>
      <c r="M107" s="56"/>
    </row>
    <row r="108" spans="1:13">
      <c r="A108" s="6"/>
      <c r="B108" s="6"/>
      <c r="C108" s="6" t="s">
        <v>251</v>
      </c>
      <c r="D108" s="5" t="s">
        <v>89</v>
      </c>
      <c r="E108" s="6" t="s">
        <v>147</v>
      </c>
      <c r="F108" s="6"/>
      <c r="G108" s="54" t="s">
        <v>78</v>
      </c>
      <c r="H108" s="6">
        <v>225</v>
      </c>
      <c r="I108" s="55" t="s">
        <v>92</v>
      </c>
      <c r="J108" s="56" t="s">
        <v>364</v>
      </c>
      <c r="K108" s="56"/>
      <c r="L108" s="56"/>
      <c r="M108" s="56"/>
    </row>
    <row r="109" spans="1:13">
      <c r="A109" s="6"/>
      <c r="B109" s="6"/>
      <c r="C109" s="6" t="s">
        <v>252</v>
      </c>
      <c r="D109" s="5" t="s">
        <v>89</v>
      </c>
      <c r="E109" s="6" t="s">
        <v>147</v>
      </c>
      <c r="F109" s="6"/>
      <c r="G109" s="54" t="s">
        <v>78</v>
      </c>
      <c r="H109" s="6">
        <v>225</v>
      </c>
      <c r="I109" s="55" t="s">
        <v>92</v>
      </c>
      <c r="J109" s="56" t="s">
        <v>364</v>
      </c>
      <c r="K109" s="56"/>
      <c r="L109" s="56"/>
      <c r="M109" s="56"/>
    </row>
    <row r="110" spans="1:13">
      <c r="A110" s="6"/>
      <c r="B110" s="6"/>
      <c r="C110" s="6" t="s">
        <v>242</v>
      </c>
      <c r="D110" s="5" t="s">
        <v>89</v>
      </c>
      <c r="E110" s="6" t="s">
        <v>147</v>
      </c>
      <c r="F110" s="6" t="s">
        <v>141</v>
      </c>
      <c r="G110" s="54" t="s">
        <v>78</v>
      </c>
      <c r="H110" s="6">
        <v>225</v>
      </c>
      <c r="I110" s="55" t="s">
        <v>44</v>
      </c>
      <c r="J110" s="56" t="s">
        <v>364</v>
      </c>
      <c r="K110" s="56"/>
      <c r="L110" s="56"/>
      <c r="M110" s="56"/>
    </row>
    <row r="111" spans="1:13">
      <c r="A111" s="6"/>
      <c r="B111" s="6"/>
      <c r="C111" s="6" t="s">
        <v>218</v>
      </c>
      <c r="D111" s="5" t="s">
        <v>89</v>
      </c>
      <c r="E111" s="6" t="s">
        <v>147</v>
      </c>
      <c r="F111" s="6" t="s">
        <v>363</v>
      </c>
      <c r="G111" s="54" t="s">
        <v>359</v>
      </c>
      <c r="H111" s="6">
        <v>225</v>
      </c>
      <c r="I111" s="55" t="s">
        <v>44</v>
      </c>
      <c r="J111" s="56" t="s">
        <v>364</v>
      </c>
      <c r="K111" s="56"/>
      <c r="L111" s="56"/>
      <c r="M111" s="56"/>
    </row>
    <row r="112" spans="1:13">
      <c r="A112" s="6"/>
      <c r="B112" s="6"/>
      <c r="C112" s="6" t="s">
        <v>219</v>
      </c>
      <c r="D112" s="5" t="s">
        <v>89</v>
      </c>
      <c r="E112" s="6" t="s">
        <v>147</v>
      </c>
      <c r="F112" s="6" t="s">
        <v>363</v>
      </c>
      <c r="G112" s="54" t="s">
        <v>359</v>
      </c>
      <c r="H112" s="6">
        <v>225</v>
      </c>
      <c r="I112" s="55" t="s">
        <v>44</v>
      </c>
      <c r="J112" s="56" t="s">
        <v>364</v>
      </c>
      <c r="K112" s="56"/>
      <c r="L112" s="56"/>
      <c r="M112" s="56"/>
    </row>
    <row r="113" spans="1:13">
      <c r="A113" s="6"/>
      <c r="B113" s="6"/>
      <c r="C113" s="6" t="s">
        <v>220</v>
      </c>
      <c r="D113" s="5" t="s">
        <v>89</v>
      </c>
      <c r="E113" s="6" t="s">
        <v>147</v>
      </c>
      <c r="F113" s="6" t="s">
        <v>363</v>
      </c>
      <c r="G113" s="54" t="s">
        <v>359</v>
      </c>
      <c r="H113" s="6">
        <v>225</v>
      </c>
      <c r="I113" s="55" t="s">
        <v>44</v>
      </c>
      <c r="J113" s="56" t="s">
        <v>364</v>
      </c>
      <c r="K113" s="56"/>
      <c r="L113" s="56"/>
      <c r="M113" s="56"/>
    </row>
    <row r="114" spans="1:13">
      <c r="A114" s="18"/>
      <c r="B114" s="18"/>
      <c r="C114" s="18" t="s">
        <v>211</v>
      </c>
      <c r="D114" s="19" t="s">
        <v>89</v>
      </c>
      <c r="E114" s="18" t="s">
        <v>147</v>
      </c>
      <c r="F114" s="18" t="s">
        <v>368</v>
      </c>
      <c r="G114" s="30" t="s">
        <v>562</v>
      </c>
      <c r="H114" s="18">
        <v>225</v>
      </c>
      <c r="I114" s="28" t="s">
        <v>44</v>
      </c>
      <c r="J114" s="20" t="s">
        <v>364</v>
      </c>
      <c r="K114" s="20"/>
      <c r="L114" s="20"/>
      <c r="M114" s="20"/>
    </row>
    <row r="115" spans="1:13">
      <c r="A115" s="6"/>
      <c r="B115" s="6"/>
      <c r="C115" s="6" t="s">
        <v>212</v>
      </c>
      <c r="D115" s="5" t="s">
        <v>89</v>
      </c>
      <c r="E115" s="6" t="s">
        <v>147</v>
      </c>
      <c r="F115" s="6" t="s">
        <v>368</v>
      </c>
      <c r="G115" s="54" t="s">
        <v>562</v>
      </c>
      <c r="H115" s="6">
        <v>225</v>
      </c>
      <c r="I115" s="55" t="s">
        <v>44</v>
      </c>
      <c r="J115" s="56" t="s">
        <v>364</v>
      </c>
      <c r="K115" s="56"/>
      <c r="L115" s="56"/>
      <c r="M115" s="56"/>
    </row>
    <row r="116" spans="1:13">
      <c r="A116" s="6"/>
      <c r="B116" s="6"/>
      <c r="C116" s="6" t="s">
        <v>228</v>
      </c>
      <c r="D116" s="5" t="s">
        <v>89</v>
      </c>
      <c r="E116" s="6" t="s">
        <v>147</v>
      </c>
      <c r="F116" s="6" t="s">
        <v>365</v>
      </c>
      <c r="G116" s="54" t="s">
        <v>562</v>
      </c>
      <c r="H116" s="6">
        <v>225</v>
      </c>
      <c r="I116" s="55" t="s">
        <v>44</v>
      </c>
      <c r="J116" s="56" t="s">
        <v>364</v>
      </c>
      <c r="K116" s="56"/>
      <c r="L116" s="56"/>
      <c r="M116" s="56"/>
    </row>
    <row r="117" spans="1:13">
      <c r="A117" s="6"/>
      <c r="B117" s="6"/>
      <c r="C117" s="6" t="s">
        <v>229</v>
      </c>
      <c r="D117" s="5" t="s">
        <v>89</v>
      </c>
      <c r="E117" s="6" t="s">
        <v>147</v>
      </c>
      <c r="F117" s="6" t="s">
        <v>365</v>
      </c>
      <c r="G117" s="54" t="s">
        <v>562</v>
      </c>
      <c r="H117" s="6">
        <v>225</v>
      </c>
      <c r="I117" s="55" t="s">
        <v>44</v>
      </c>
      <c r="J117" s="56" t="s">
        <v>364</v>
      </c>
      <c r="K117" s="56"/>
      <c r="L117" s="56"/>
      <c r="M117" s="56"/>
    </row>
    <row r="118" spans="1:13">
      <c r="A118" s="6"/>
      <c r="B118" s="6"/>
      <c r="C118" s="6" t="s">
        <v>253</v>
      </c>
      <c r="D118" s="5" t="s">
        <v>89</v>
      </c>
      <c r="E118" s="6" t="s">
        <v>147</v>
      </c>
      <c r="F118" s="6"/>
      <c r="G118" s="54" t="s">
        <v>78</v>
      </c>
      <c r="H118" s="6">
        <v>225</v>
      </c>
      <c r="I118" s="55" t="s">
        <v>44</v>
      </c>
      <c r="J118" s="56" t="s">
        <v>364</v>
      </c>
      <c r="K118" s="56"/>
      <c r="L118" s="56"/>
      <c r="M118" s="56"/>
    </row>
    <row r="119" spans="1:13">
      <c r="A119" s="18" t="s">
        <v>716</v>
      </c>
      <c r="B119" s="74" t="s">
        <v>145</v>
      </c>
      <c r="C119" s="18"/>
      <c r="D119" s="19" t="s">
        <v>5</v>
      </c>
      <c r="E119" s="18" t="s">
        <v>147</v>
      </c>
      <c r="F119" s="18" t="s">
        <v>141</v>
      </c>
      <c r="G119" s="30" t="s">
        <v>78</v>
      </c>
      <c r="H119" s="18">
        <v>225</v>
      </c>
      <c r="I119" s="28" t="s">
        <v>92</v>
      </c>
      <c r="J119" s="20" t="s">
        <v>62</v>
      </c>
      <c r="K119" s="20"/>
      <c r="L119" s="20"/>
      <c r="M119" s="20"/>
    </row>
    <row r="120" spans="1:13">
      <c r="A120" s="6"/>
      <c r="B120" s="6"/>
      <c r="C120" s="6" t="s">
        <v>243</v>
      </c>
      <c r="D120" s="5" t="s">
        <v>89</v>
      </c>
      <c r="E120" s="6" t="s">
        <v>147</v>
      </c>
      <c r="F120" s="6" t="s">
        <v>141</v>
      </c>
      <c r="G120" s="54" t="s">
        <v>78</v>
      </c>
      <c r="H120" s="6">
        <v>225</v>
      </c>
      <c r="I120" s="55" t="s">
        <v>92</v>
      </c>
      <c r="J120" s="56" t="s">
        <v>367</v>
      </c>
      <c r="K120" s="56"/>
      <c r="L120" s="56"/>
      <c r="M120" s="56"/>
    </row>
    <row r="121" spans="1:13">
      <c r="A121" s="6"/>
      <c r="B121" s="6"/>
      <c r="C121" s="6" t="s">
        <v>244</v>
      </c>
      <c r="D121" s="5" t="s">
        <v>89</v>
      </c>
      <c r="E121" s="6" t="s">
        <v>147</v>
      </c>
      <c r="F121" s="6" t="s">
        <v>141</v>
      </c>
      <c r="G121" s="54" t="s">
        <v>78</v>
      </c>
      <c r="H121" s="6">
        <v>225</v>
      </c>
      <c r="I121" s="55" t="s">
        <v>92</v>
      </c>
      <c r="J121" s="56" t="s">
        <v>367</v>
      </c>
      <c r="K121" s="56"/>
      <c r="L121" s="56"/>
      <c r="M121" s="56"/>
    </row>
    <row r="122" spans="1:13">
      <c r="A122" s="6"/>
      <c r="B122" s="6"/>
      <c r="C122" s="6" t="s">
        <v>221</v>
      </c>
      <c r="D122" s="5" t="s">
        <v>89</v>
      </c>
      <c r="E122" s="6" t="s">
        <v>147</v>
      </c>
      <c r="F122" s="6" t="s">
        <v>363</v>
      </c>
      <c r="G122" s="54" t="s">
        <v>359</v>
      </c>
      <c r="H122" s="6">
        <v>225</v>
      </c>
      <c r="I122" s="55" t="s">
        <v>92</v>
      </c>
      <c r="J122" s="56" t="s">
        <v>367</v>
      </c>
      <c r="K122" s="56"/>
      <c r="L122" s="56"/>
      <c r="M122" s="56"/>
    </row>
    <row r="123" spans="1:13">
      <c r="A123" s="6"/>
      <c r="B123" s="6"/>
      <c r="C123" s="6" t="s">
        <v>245</v>
      </c>
      <c r="D123" s="5" t="s">
        <v>89</v>
      </c>
      <c r="E123" s="6" t="s">
        <v>147</v>
      </c>
      <c r="F123" s="6" t="s">
        <v>141</v>
      </c>
      <c r="G123" s="54" t="s">
        <v>78</v>
      </c>
      <c r="H123" s="6">
        <v>225</v>
      </c>
      <c r="I123" s="55" t="s">
        <v>44</v>
      </c>
      <c r="J123" s="56" t="s">
        <v>367</v>
      </c>
      <c r="K123" s="56"/>
      <c r="L123" s="56"/>
      <c r="M123" s="56"/>
    </row>
    <row r="124" spans="1:13">
      <c r="A124" s="6"/>
      <c r="B124" s="6"/>
      <c r="C124" s="6" t="s">
        <v>246</v>
      </c>
      <c r="D124" s="5" t="s">
        <v>89</v>
      </c>
      <c r="E124" s="6" t="s">
        <v>147</v>
      </c>
      <c r="F124" s="6" t="s">
        <v>141</v>
      </c>
      <c r="G124" s="54" t="s">
        <v>78</v>
      </c>
      <c r="H124" s="6">
        <v>225</v>
      </c>
      <c r="I124" s="55" t="s">
        <v>44</v>
      </c>
      <c r="J124" s="56" t="s">
        <v>367</v>
      </c>
      <c r="K124" s="56"/>
      <c r="L124" s="56"/>
      <c r="M124" s="56"/>
    </row>
    <row r="125" spans="1:13">
      <c r="A125" s="6"/>
      <c r="B125" s="6"/>
      <c r="C125" s="6" t="s">
        <v>247</v>
      </c>
      <c r="D125" s="5" t="s">
        <v>89</v>
      </c>
      <c r="E125" s="6" t="s">
        <v>147</v>
      </c>
      <c r="F125" s="6" t="s">
        <v>141</v>
      </c>
      <c r="G125" s="54" t="s">
        <v>78</v>
      </c>
      <c r="H125" s="6">
        <v>225</v>
      </c>
      <c r="I125" s="55" t="s">
        <v>44</v>
      </c>
      <c r="J125" s="56" t="s">
        <v>367</v>
      </c>
      <c r="K125" s="56"/>
      <c r="L125" s="56"/>
      <c r="M125" s="56"/>
    </row>
    <row r="126" spans="1:13">
      <c r="A126" s="6"/>
      <c r="B126" s="6"/>
      <c r="C126" s="6" t="s">
        <v>222</v>
      </c>
      <c r="D126" s="5" t="s">
        <v>89</v>
      </c>
      <c r="E126" s="6" t="s">
        <v>147</v>
      </c>
      <c r="F126" s="6" t="s">
        <v>363</v>
      </c>
      <c r="G126" s="54" t="s">
        <v>359</v>
      </c>
      <c r="H126" s="6">
        <v>225</v>
      </c>
      <c r="I126" s="55" t="s">
        <v>44</v>
      </c>
      <c r="J126" s="56" t="s">
        <v>367</v>
      </c>
      <c r="K126" s="56"/>
      <c r="L126" s="56"/>
      <c r="M126" s="56"/>
    </row>
    <row r="127" spans="1:13">
      <c r="A127" s="6"/>
      <c r="B127" s="6"/>
      <c r="C127" s="6" t="s">
        <v>223</v>
      </c>
      <c r="D127" s="5" t="s">
        <v>89</v>
      </c>
      <c r="E127" s="6" t="s">
        <v>147</v>
      </c>
      <c r="F127" s="6" t="s">
        <v>363</v>
      </c>
      <c r="G127" s="54" t="s">
        <v>359</v>
      </c>
      <c r="H127" s="6">
        <v>225</v>
      </c>
      <c r="I127" s="55" t="s">
        <v>44</v>
      </c>
      <c r="J127" s="56" t="s">
        <v>367</v>
      </c>
      <c r="K127" s="56"/>
      <c r="L127" s="56"/>
      <c r="M127" s="56"/>
    </row>
    <row r="128" spans="1:13">
      <c r="A128" s="6"/>
      <c r="B128" s="6"/>
      <c r="C128" s="6" t="s">
        <v>235</v>
      </c>
      <c r="D128" s="5" t="s">
        <v>89</v>
      </c>
      <c r="E128" s="6" t="s">
        <v>147</v>
      </c>
      <c r="F128" s="6" t="s">
        <v>358</v>
      </c>
      <c r="G128" s="54" t="s">
        <v>359</v>
      </c>
      <c r="H128" s="6">
        <v>225</v>
      </c>
      <c r="I128" s="55" t="s">
        <v>44</v>
      </c>
      <c r="J128" s="56" t="s">
        <v>367</v>
      </c>
      <c r="K128" s="56"/>
      <c r="L128" s="56"/>
      <c r="M128" s="56"/>
    </row>
    <row r="129" spans="1:13">
      <c r="A129" s="6"/>
      <c r="B129" s="6"/>
      <c r="C129" s="6" t="s">
        <v>230</v>
      </c>
      <c r="D129" s="5" t="s">
        <v>89</v>
      </c>
      <c r="E129" s="6" t="s">
        <v>147</v>
      </c>
      <c r="F129" s="6" t="s">
        <v>365</v>
      </c>
      <c r="G129" s="54" t="s">
        <v>562</v>
      </c>
      <c r="H129" s="6">
        <v>225</v>
      </c>
      <c r="I129" s="55" t="s">
        <v>44</v>
      </c>
      <c r="J129" s="56" t="s">
        <v>367</v>
      </c>
      <c r="K129" s="56"/>
      <c r="L129" s="56"/>
      <c r="M129" s="56"/>
    </row>
    <row r="130" spans="1:13">
      <c r="A130" s="6"/>
      <c r="B130" s="6"/>
      <c r="C130" s="6" t="s">
        <v>213</v>
      </c>
      <c r="D130" s="5" t="s">
        <v>89</v>
      </c>
      <c r="E130" s="6" t="s">
        <v>147</v>
      </c>
      <c r="F130" s="6" t="s">
        <v>363</v>
      </c>
      <c r="G130" s="54" t="s">
        <v>359</v>
      </c>
      <c r="H130" s="6">
        <v>225</v>
      </c>
      <c r="I130" s="55" t="s">
        <v>44</v>
      </c>
      <c r="J130" s="56" t="s">
        <v>366</v>
      </c>
      <c r="K130" s="56"/>
      <c r="L130" s="56"/>
      <c r="M130" s="56"/>
    </row>
    <row r="131" spans="1:13">
      <c r="A131" s="6"/>
      <c r="B131" s="6"/>
      <c r="C131" s="6" t="s">
        <v>206</v>
      </c>
      <c r="D131" s="5" t="s">
        <v>89</v>
      </c>
      <c r="E131" s="6" t="s">
        <v>357</v>
      </c>
      <c r="F131" s="6" t="s">
        <v>358</v>
      </c>
      <c r="G131" s="54" t="s">
        <v>359</v>
      </c>
      <c r="H131" s="6">
        <v>225</v>
      </c>
      <c r="I131" s="55" t="s">
        <v>44</v>
      </c>
      <c r="J131" s="56" t="s">
        <v>366</v>
      </c>
      <c r="K131" s="56"/>
      <c r="L131" s="56"/>
      <c r="M131" s="56"/>
    </row>
    <row r="132" spans="1:13">
      <c r="A132" s="12" t="s">
        <v>103</v>
      </c>
      <c r="B132" s="12" t="s">
        <v>546</v>
      </c>
      <c r="C132" s="12" t="s">
        <v>101</v>
      </c>
      <c r="D132" s="13" t="s">
        <v>89</v>
      </c>
      <c r="E132" s="12" t="s">
        <v>6</v>
      </c>
      <c r="F132" s="14" t="s">
        <v>43</v>
      </c>
      <c r="G132" s="15" t="s">
        <v>78</v>
      </c>
      <c r="H132" s="12">
        <v>225</v>
      </c>
      <c r="I132" s="28" t="s">
        <v>20</v>
      </c>
      <c r="J132" s="16" t="s">
        <v>63</v>
      </c>
      <c r="K132" s="12"/>
      <c r="L132" s="12"/>
      <c r="M132" s="12"/>
    </row>
    <row r="133" spans="1:13">
      <c r="A133" s="6"/>
      <c r="B133" s="6"/>
      <c r="C133" s="6" t="s">
        <v>224</v>
      </c>
      <c r="D133" s="5" t="s">
        <v>89</v>
      </c>
      <c r="E133" s="6" t="s">
        <v>147</v>
      </c>
      <c r="F133" s="6" t="s">
        <v>363</v>
      </c>
      <c r="G133" s="54" t="s">
        <v>359</v>
      </c>
      <c r="H133" s="6">
        <v>225</v>
      </c>
      <c r="I133" s="55" t="s">
        <v>92</v>
      </c>
      <c r="J133" s="56" t="s">
        <v>369</v>
      </c>
      <c r="K133" s="56"/>
      <c r="L133" s="56"/>
      <c r="M133" s="56"/>
    </row>
    <row r="134" spans="1:13">
      <c r="A134" s="6"/>
      <c r="B134" s="6"/>
      <c r="C134" s="6" t="s">
        <v>248</v>
      </c>
      <c r="D134" s="5" t="s">
        <v>89</v>
      </c>
      <c r="E134" s="6" t="s">
        <v>147</v>
      </c>
      <c r="F134" s="6" t="s">
        <v>141</v>
      </c>
      <c r="G134" s="54" t="s">
        <v>78</v>
      </c>
      <c r="H134" s="6">
        <v>225</v>
      </c>
      <c r="I134" s="55" t="s">
        <v>44</v>
      </c>
      <c r="J134" s="56" t="s">
        <v>369</v>
      </c>
      <c r="K134" s="56"/>
      <c r="L134" s="56"/>
      <c r="M134" s="56"/>
    </row>
    <row r="135" spans="1:13">
      <c r="A135" s="6"/>
      <c r="B135" s="6"/>
      <c r="C135" s="6" t="s">
        <v>225</v>
      </c>
      <c r="D135" s="5" t="s">
        <v>89</v>
      </c>
      <c r="E135" s="6" t="s">
        <v>147</v>
      </c>
      <c r="F135" s="6" t="s">
        <v>363</v>
      </c>
      <c r="G135" s="54" t="s">
        <v>359</v>
      </c>
      <c r="H135" s="6">
        <v>225</v>
      </c>
      <c r="I135" s="55" t="s">
        <v>44</v>
      </c>
      <c r="J135" s="56" t="s">
        <v>369</v>
      </c>
      <c r="K135" s="56"/>
      <c r="L135" s="56"/>
      <c r="M135" s="56"/>
    </row>
    <row r="136" spans="1:13">
      <c r="A136" s="6"/>
      <c r="B136" s="6"/>
      <c r="C136" s="6" t="s">
        <v>236</v>
      </c>
      <c r="D136" s="5" t="s">
        <v>89</v>
      </c>
      <c r="E136" s="6" t="s">
        <v>147</v>
      </c>
      <c r="F136" s="6" t="s">
        <v>358</v>
      </c>
      <c r="G136" s="54" t="s">
        <v>359</v>
      </c>
      <c r="H136" s="6">
        <v>225</v>
      </c>
      <c r="I136" s="55" t="s">
        <v>44</v>
      </c>
      <c r="J136" s="56" t="s">
        <v>369</v>
      </c>
      <c r="K136" s="56"/>
      <c r="L136" s="56"/>
      <c r="M136" s="56"/>
    </row>
    <row r="137" spans="1:13">
      <c r="A137" s="6"/>
      <c r="B137" s="6"/>
      <c r="C137" s="6" t="s">
        <v>249</v>
      </c>
      <c r="D137" s="5" t="s">
        <v>89</v>
      </c>
      <c r="E137" s="6" t="s">
        <v>147</v>
      </c>
      <c r="F137" s="6" t="s">
        <v>141</v>
      </c>
      <c r="G137" s="54" t="s">
        <v>78</v>
      </c>
      <c r="H137" s="6">
        <v>225</v>
      </c>
      <c r="I137" s="55" t="s">
        <v>92</v>
      </c>
      <c r="J137" s="56" t="s">
        <v>370</v>
      </c>
      <c r="K137" s="56"/>
      <c r="L137" s="56"/>
      <c r="M137" s="56"/>
    </row>
    <row r="138" spans="1:13">
      <c r="A138" s="6"/>
      <c r="B138" s="6"/>
      <c r="C138" s="6" t="s">
        <v>250</v>
      </c>
      <c r="D138" s="5" t="s">
        <v>89</v>
      </c>
      <c r="E138" s="6" t="s">
        <v>147</v>
      </c>
      <c r="F138" s="6" t="s">
        <v>141</v>
      </c>
      <c r="G138" s="54" t="s">
        <v>78</v>
      </c>
      <c r="H138" s="6">
        <v>225</v>
      </c>
      <c r="I138" s="55" t="s">
        <v>44</v>
      </c>
      <c r="J138" s="56" t="s">
        <v>370</v>
      </c>
      <c r="K138" s="56"/>
      <c r="L138" s="56"/>
      <c r="M138" s="56"/>
    </row>
    <row r="139" spans="1:13">
      <c r="A139" s="6"/>
      <c r="B139" s="6"/>
      <c r="C139" s="6" t="s">
        <v>231</v>
      </c>
      <c r="D139" s="5" t="s">
        <v>89</v>
      </c>
      <c r="E139" s="6" t="s">
        <v>147</v>
      </c>
      <c r="F139" s="6" t="s">
        <v>358</v>
      </c>
      <c r="G139" s="54" t="s">
        <v>359</v>
      </c>
      <c r="H139" s="6">
        <v>225</v>
      </c>
      <c r="I139" s="55" t="s">
        <v>92</v>
      </c>
      <c r="J139" s="56" t="s">
        <v>360</v>
      </c>
      <c r="K139" s="56"/>
      <c r="L139" s="56"/>
      <c r="M139" s="56"/>
    </row>
    <row r="140" spans="1:13">
      <c r="A140" s="6"/>
      <c r="B140" s="6"/>
      <c r="C140" s="6" t="s">
        <v>208</v>
      </c>
      <c r="D140" s="5" t="s">
        <v>89</v>
      </c>
      <c r="E140" s="6" t="s">
        <v>362</v>
      </c>
      <c r="F140" s="6" t="s">
        <v>141</v>
      </c>
      <c r="G140" s="54" t="s">
        <v>78</v>
      </c>
      <c r="H140" s="6">
        <v>225</v>
      </c>
      <c r="I140" s="55" t="s">
        <v>44</v>
      </c>
      <c r="J140" s="56" t="s">
        <v>360</v>
      </c>
      <c r="K140" s="56"/>
      <c r="L140" s="56"/>
      <c r="M140" s="56"/>
    </row>
    <row r="141" spans="1:13">
      <c r="A141" s="6"/>
      <c r="B141" s="6"/>
      <c r="C141" s="6" t="s">
        <v>237</v>
      </c>
      <c r="D141" s="5" t="s">
        <v>89</v>
      </c>
      <c r="E141" s="6" t="s">
        <v>147</v>
      </c>
      <c r="F141" s="6" t="s">
        <v>141</v>
      </c>
      <c r="G141" s="54" t="s">
        <v>78</v>
      </c>
      <c r="H141" s="6">
        <v>225</v>
      </c>
      <c r="I141" s="55" t="s">
        <v>44</v>
      </c>
      <c r="J141" s="56" t="s">
        <v>360</v>
      </c>
      <c r="K141" s="56"/>
      <c r="L141" s="56"/>
      <c r="M141" s="56"/>
    </row>
    <row r="142" spans="1:13">
      <c r="A142" s="6"/>
      <c r="B142" s="6"/>
      <c r="C142" s="6" t="s">
        <v>214</v>
      </c>
      <c r="D142" s="5" t="s">
        <v>89</v>
      </c>
      <c r="E142" s="6" t="s">
        <v>147</v>
      </c>
      <c r="F142" s="6" t="s">
        <v>363</v>
      </c>
      <c r="G142" s="54" t="s">
        <v>359</v>
      </c>
      <c r="H142" s="6">
        <v>225</v>
      </c>
      <c r="I142" s="55" t="s">
        <v>44</v>
      </c>
      <c r="J142" s="56" t="s">
        <v>360</v>
      </c>
      <c r="K142" s="56"/>
      <c r="L142" s="56"/>
      <c r="M142" s="56"/>
    </row>
    <row r="143" spans="1:13">
      <c r="A143" s="6"/>
      <c r="B143" s="6"/>
      <c r="C143" s="6" t="s">
        <v>232</v>
      </c>
      <c r="D143" s="5" t="s">
        <v>89</v>
      </c>
      <c r="E143" s="6" t="s">
        <v>147</v>
      </c>
      <c r="F143" s="6" t="s">
        <v>358</v>
      </c>
      <c r="G143" s="54" t="s">
        <v>359</v>
      </c>
      <c r="H143" s="6">
        <v>225</v>
      </c>
      <c r="I143" s="55" t="s">
        <v>44</v>
      </c>
      <c r="J143" s="56" t="s">
        <v>360</v>
      </c>
      <c r="K143" s="56"/>
      <c r="L143" s="56"/>
      <c r="M143" s="56"/>
    </row>
    <row r="144" spans="1:13">
      <c r="A144" s="6"/>
      <c r="B144" s="6"/>
      <c r="C144" s="6" t="s">
        <v>209</v>
      </c>
      <c r="D144" s="5" t="s">
        <v>89</v>
      </c>
      <c r="E144" s="6" t="s">
        <v>147</v>
      </c>
      <c r="F144" s="6" t="s">
        <v>368</v>
      </c>
      <c r="G144" s="54" t="s">
        <v>562</v>
      </c>
      <c r="H144" s="6">
        <v>225</v>
      </c>
      <c r="I144" s="55" t="s">
        <v>44</v>
      </c>
      <c r="J144" s="56" t="s">
        <v>360</v>
      </c>
      <c r="K144" s="56"/>
      <c r="L144" s="56"/>
      <c r="M144" s="56"/>
    </row>
    <row r="145" spans="1:13">
      <c r="A145" s="6" t="s">
        <v>742</v>
      </c>
      <c r="B145" s="6"/>
      <c r="C145" s="6" t="s">
        <v>238</v>
      </c>
      <c r="D145" s="5" t="s">
        <v>89</v>
      </c>
      <c r="E145" s="6" t="s">
        <v>147</v>
      </c>
      <c r="F145" s="6" t="s">
        <v>141</v>
      </c>
      <c r="G145" s="54" t="s">
        <v>78</v>
      </c>
      <c r="H145" s="6">
        <v>225</v>
      </c>
      <c r="I145" s="55" t="s">
        <v>92</v>
      </c>
      <c r="J145" s="56" t="s">
        <v>361</v>
      </c>
      <c r="K145" s="56"/>
      <c r="L145" s="56"/>
      <c r="M145" s="56"/>
    </row>
    <row r="146" spans="1:13">
      <c r="A146" s="18"/>
      <c r="B146" s="18"/>
      <c r="C146" s="18" t="s">
        <v>215</v>
      </c>
      <c r="D146" s="19" t="s">
        <v>89</v>
      </c>
      <c r="E146" s="18" t="s">
        <v>147</v>
      </c>
      <c r="F146" s="18" t="s">
        <v>363</v>
      </c>
      <c r="G146" s="30" t="s">
        <v>359</v>
      </c>
      <c r="H146" s="18">
        <v>225</v>
      </c>
      <c r="I146" s="28" t="s">
        <v>92</v>
      </c>
      <c r="J146" s="20" t="s">
        <v>361</v>
      </c>
      <c r="K146" s="20"/>
      <c r="L146" s="20"/>
      <c r="M146" s="20"/>
    </row>
    <row r="147" spans="1:13">
      <c r="A147" s="6"/>
      <c r="B147" s="6"/>
      <c r="C147" s="6" t="s">
        <v>233</v>
      </c>
      <c r="D147" s="5" t="s">
        <v>89</v>
      </c>
      <c r="E147" s="6" t="s">
        <v>147</v>
      </c>
      <c r="F147" s="6" t="s">
        <v>358</v>
      </c>
      <c r="G147" s="54" t="s">
        <v>359</v>
      </c>
      <c r="H147" s="6">
        <v>225</v>
      </c>
      <c r="I147" s="55" t="s">
        <v>92</v>
      </c>
      <c r="J147" s="56" t="s">
        <v>361</v>
      </c>
      <c r="K147" s="56"/>
      <c r="L147" s="56"/>
      <c r="M147" s="56"/>
    </row>
    <row r="148" spans="1:13">
      <c r="A148" s="6"/>
      <c r="B148" s="6"/>
      <c r="C148" s="6" t="s">
        <v>210</v>
      </c>
      <c r="D148" s="5" t="s">
        <v>89</v>
      </c>
      <c r="E148" s="6" t="s">
        <v>147</v>
      </c>
      <c r="F148" s="6" t="s">
        <v>98</v>
      </c>
      <c r="G148" s="54" t="s">
        <v>562</v>
      </c>
      <c r="H148" s="6">
        <v>225</v>
      </c>
      <c r="I148" s="55" t="s">
        <v>92</v>
      </c>
      <c r="J148" s="56" t="s">
        <v>361</v>
      </c>
      <c r="K148" s="56"/>
      <c r="L148" s="56"/>
      <c r="M148" s="56"/>
    </row>
    <row r="149" spans="1:13">
      <c r="A149" s="6" t="s">
        <v>610</v>
      </c>
      <c r="B149" s="6" t="s">
        <v>674</v>
      </c>
      <c r="C149" s="6" t="s">
        <v>662</v>
      </c>
      <c r="D149" s="5" t="s">
        <v>89</v>
      </c>
      <c r="E149" s="6" t="s">
        <v>147</v>
      </c>
      <c r="F149" s="6" t="s">
        <v>141</v>
      </c>
      <c r="G149" s="54" t="s">
        <v>78</v>
      </c>
      <c r="H149" s="6">
        <v>225</v>
      </c>
      <c r="I149" s="55" t="s">
        <v>44</v>
      </c>
      <c r="J149" s="56" t="s">
        <v>361</v>
      </c>
      <c r="K149" s="56"/>
      <c r="L149" s="56"/>
      <c r="M149" s="56"/>
    </row>
    <row r="150" spans="1:13">
      <c r="A150" s="6"/>
      <c r="B150" s="6"/>
      <c r="C150" s="6" t="s">
        <v>207</v>
      </c>
      <c r="D150" s="5" t="s">
        <v>89</v>
      </c>
      <c r="E150" s="6" t="s">
        <v>357</v>
      </c>
      <c r="F150" s="6" t="s">
        <v>141</v>
      </c>
      <c r="G150" s="54" t="s">
        <v>78</v>
      </c>
      <c r="H150" s="6">
        <v>225</v>
      </c>
      <c r="I150" s="55" t="s">
        <v>44</v>
      </c>
      <c r="J150" s="56" t="s">
        <v>361</v>
      </c>
      <c r="K150" s="56"/>
      <c r="L150" s="56"/>
      <c r="M150" s="56"/>
    </row>
    <row r="151" spans="1:13">
      <c r="A151" s="6"/>
      <c r="B151" s="6"/>
      <c r="C151" s="6" t="s">
        <v>696</v>
      </c>
      <c r="D151" s="5" t="s">
        <v>89</v>
      </c>
      <c r="E151" s="6" t="s">
        <v>362</v>
      </c>
      <c r="F151" s="6" t="s">
        <v>141</v>
      </c>
      <c r="G151" s="54" t="s">
        <v>78</v>
      </c>
      <c r="H151" s="6">
        <v>225</v>
      </c>
      <c r="I151" s="55" t="s">
        <v>44</v>
      </c>
      <c r="J151" s="56" t="s">
        <v>361</v>
      </c>
      <c r="K151" s="56"/>
      <c r="L151" s="56"/>
      <c r="M151" s="56"/>
    </row>
    <row r="152" spans="1:13">
      <c r="A152" s="6"/>
      <c r="B152" s="6"/>
      <c r="C152" s="6" t="s">
        <v>239</v>
      </c>
      <c r="D152" s="5" t="s">
        <v>89</v>
      </c>
      <c r="E152" s="6" t="s">
        <v>147</v>
      </c>
      <c r="F152" s="6" t="s">
        <v>141</v>
      </c>
      <c r="G152" s="54" t="s">
        <v>78</v>
      </c>
      <c r="H152" s="6">
        <v>225</v>
      </c>
      <c r="I152" s="55" t="s">
        <v>44</v>
      </c>
      <c r="J152" s="56" t="s">
        <v>361</v>
      </c>
      <c r="K152" s="56"/>
      <c r="L152" s="56"/>
      <c r="M152" s="56"/>
    </row>
    <row r="153" spans="1:13">
      <c r="A153" s="6"/>
      <c r="B153" s="6"/>
      <c r="C153" s="6" t="s">
        <v>695</v>
      </c>
      <c r="D153" s="5" t="s">
        <v>89</v>
      </c>
      <c r="E153" s="6" t="s">
        <v>147</v>
      </c>
      <c r="F153" s="6" t="s">
        <v>141</v>
      </c>
      <c r="G153" s="54" t="s">
        <v>78</v>
      </c>
      <c r="H153" s="6">
        <v>225</v>
      </c>
      <c r="I153" s="55" t="s">
        <v>44</v>
      </c>
      <c r="J153" s="56" t="s">
        <v>361</v>
      </c>
      <c r="K153" s="57"/>
      <c r="L153" s="56"/>
      <c r="M153" s="53"/>
    </row>
    <row r="154" spans="1:13">
      <c r="A154" s="6"/>
      <c r="B154" s="6"/>
      <c r="C154" s="6" t="s">
        <v>652</v>
      </c>
      <c r="D154" s="5" t="s">
        <v>89</v>
      </c>
      <c r="E154" s="6" t="s">
        <v>147</v>
      </c>
      <c r="F154" s="6" t="s">
        <v>75</v>
      </c>
      <c r="G154" s="54" t="s">
        <v>359</v>
      </c>
      <c r="H154" s="6">
        <v>225</v>
      </c>
      <c r="I154" s="55" t="s">
        <v>44</v>
      </c>
      <c r="J154" s="56" t="s">
        <v>361</v>
      </c>
      <c r="K154" s="56"/>
      <c r="L154" s="56"/>
      <c r="M154" s="56"/>
    </row>
    <row r="155" spans="1:13">
      <c r="A155" s="6"/>
      <c r="B155" s="6"/>
      <c r="C155" s="6" t="s">
        <v>234</v>
      </c>
      <c r="D155" s="5" t="s">
        <v>89</v>
      </c>
      <c r="E155" s="6" t="s">
        <v>147</v>
      </c>
      <c r="F155" s="6" t="s">
        <v>358</v>
      </c>
      <c r="G155" s="54" t="s">
        <v>359</v>
      </c>
      <c r="H155" s="6">
        <v>225</v>
      </c>
      <c r="I155" s="55" t="s">
        <v>44</v>
      </c>
      <c r="J155" s="56" t="s">
        <v>361</v>
      </c>
      <c r="K155" s="56"/>
      <c r="L155" s="56"/>
      <c r="M155" s="56"/>
    </row>
    <row r="156" spans="1:13">
      <c r="A156" s="6"/>
      <c r="B156" s="6"/>
      <c r="C156" s="6" t="s">
        <v>653</v>
      </c>
      <c r="D156" s="5" t="s">
        <v>89</v>
      </c>
      <c r="E156" s="6" t="s">
        <v>147</v>
      </c>
      <c r="F156" s="6" t="s">
        <v>98</v>
      </c>
      <c r="G156" s="54" t="s">
        <v>562</v>
      </c>
      <c r="H156" s="6">
        <v>225</v>
      </c>
      <c r="I156" s="55" t="s">
        <v>44</v>
      </c>
      <c r="J156" s="56" t="s">
        <v>361</v>
      </c>
      <c r="K156" s="56"/>
      <c r="L156" s="56"/>
      <c r="M156" s="56"/>
    </row>
    <row r="157" spans="1:13">
      <c r="A157" s="6"/>
      <c r="B157" s="6"/>
      <c r="C157" s="6" t="s">
        <v>226</v>
      </c>
      <c r="D157" s="5" t="s">
        <v>89</v>
      </c>
      <c r="E157" s="6" t="s">
        <v>147</v>
      </c>
      <c r="F157" s="6" t="s">
        <v>365</v>
      </c>
      <c r="G157" s="54" t="s">
        <v>562</v>
      </c>
      <c r="H157" s="6">
        <v>225</v>
      </c>
      <c r="I157" s="55" t="s">
        <v>44</v>
      </c>
      <c r="J157" s="56" t="s">
        <v>361</v>
      </c>
      <c r="K157" s="56"/>
      <c r="L157" s="56"/>
      <c r="M157" s="56"/>
    </row>
    <row r="158" spans="1:13">
      <c r="A158" s="18"/>
      <c r="B158" s="18"/>
      <c r="C158" s="18"/>
      <c r="D158" s="19" t="s">
        <v>5</v>
      </c>
      <c r="E158" s="18"/>
      <c r="F158" s="18" t="s">
        <v>43</v>
      </c>
      <c r="G158" s="30" t="s">
        <v>78</v>
      </c>
      <c r="H158" s="18">
        <v>226</v>
      </c>
      <c r="I158" s="28" t="s">
        <v>39</v>
      </c>
      <c r="J158" s="20" t="s">
        <v>190</v>
      </c>
      <c r="K158" s="20"/>
      <c r="L158" s="20"/>
      <c r="M158" s="20"/>
    </row>
    <row r="159" spans="1:13">
      <c r="A159" s="12" t="s">
        <v>93</v>
      </c>
      <c r="B159" s="79" t="s">
        <v>91</v>
      </c>
      <c r="C159" s="12" t="s">
        <v>793</v>
      </c>
      <c r="D159" s="13" t="s">
        <v>89</v>
      </c>
      <c r="E159" s="12" t="s">
        <v>6</v>
      </c>
      <c r="F159" s="14" t="s">
        <v>43</v>
      </c>
      <c r="G159" s="15" t="s">
        <v>78</v>
      </c>
      <c r="H159" s="12">
        <v>475</v>
      </c>
      <c r="I159" s="28" t="s">
        <v>92</v>
      </c>
      <c r="J159" s="16" t="s">
        <v>61</v>
      </c>
      <c r="K159" s="64"/>
      <c r="L159" s="12"/>
      <c r="M159" s="12"/>
    </row>
    <row r="160" spans="1:13">
      <c r="A160" s="6" t="s">
        <v>772</v>
      </c>
      <c r="B160" s="6" t="s">
        <v>771</v>
      </c>
      <c r="C160" s="6" t="s">
        <v>571</v>
      </c>
      <c r="D160" s="5" t="s">
        <v>89</v>
      </c>
      <c r="E160" s="6" t="s">
        <v>147</v>
      </c>
      <c r="F160" s="6" t="s">
        <v>141</v>
      </c>
      <c r="G160" s="54" t="s">
        <v>78</v>
      </c>
      <c r="H160" s="6">
        <v>475</v>
      </c>
      <c r="I160" s="55" t="s">
        <v>44</v>
      </c>
      <c r="J160" s="56" t="s">
        <v>364</v>
      </c>
      <c r="K160" s="63"/>
      <c r="L160" s="56"/>
      <c r="M160" s="56"/>
    </row>
    <row r="161" spans="1:13">
      <c r="A161" s="18" t="s">
        <v>717</v>
      </c>
      <c r="B161" s="18" t="s">
        <v>187</v>
      </c>
      <c r="C161" s="18"/>
      <c r="D161" s="13" t="s">
        <v>89</v>
      </c>
      <c r="E161" s="12" t="s">
        <v>6</v>
      </c>
      <c r="F161" s="14" t="s">
        <v>43</v>
      </c>
      <c r="G161" s="15" t="s">
        <v>78</v>
      </c>
      <c r="H161" s="12">
        <v>475</v>
      </c>
      <c r="I161" s="28" t="s">
        <v>44</v>
      </c>
      <c r="J161" s="16" t="s">
        <v>62</v>
      </c>
      <c r="K161" s="27"/>
      <c r="L161" s="20"/>
      <c r="M161" s="20"/>
    </row>
    <row r="162" spans="1:13">
      <c r="A162" s="6"/>
      <c r="B162" s="6"/>
      <c r="C162" s="6" t="s">
        <v>261</v>
      </c>
      <c r="D162" s="5" t="s">
        <v>89</v>
      </c>
      <c r="E162" s="6" t="s">
        <v>147</v>
      </c>
      <c r="F162" s="6" t="s">
        <v>141</v>
      </c>
      <c r="G162" s="54" t="s">
        <v>78</v>
      </c>
      <c r="H162" s="6">
        <v>475</v>
      </c>
      <c r="I162" s="55" t="s">
        <v>44</v>
      </c>
      <c r="J162" s="56" t="s">
        <v>367</v>
      </c>
      <c r="K162" s="63"/>
      <c r="L162" s="56"/>
      <c r="M162" s="56"/>
    </row>
    <row r="163" spans="1:13">
      <c r="A163" s="6"/>
      <c r="B163" s="6"/>
      <c r="C163" s="6" t="s">
        <v>257</v>
      </c>
      <c r="D163" s="5" t="s">
        <v>89</v>
      </c>
      <c r="E163" s="6" t="s">
        <v>147</v>
      </c>
      <c r="F163" s="6" t="s">
        <v>141</v>
      </c>
      <c r="G163" s="54" t="s">
        <v>78</v>
      </c>
      <c r="H163" s="6">
        <v>475</v>
      </c>
      <c r="I163" s="55" t="s">
        <v>44</v>
      </c>
      <c r="J163" s="56" t="s">
        <v>366</v>
      </c>
      <c r="K163" s="63"/>
      <c r="L163" s="56"/>
      <c r="M163" s="56"/>
    </row>
    <row r="164" spans="1:13">
      <c r="A164" s="6"/>
      <c r="B164" s="6"/>
      <c r="C164" s="6" t="s">
        <v>256</v>
      </c>
      <c r="D164" s="5" t="s">
        <v>89</v>
      </c>
      <c r="E164" s="6" t="s">
        <v>147</v>
      </c>
      <c r="F164" s="6" t="s">
        <v>358</v>
      </c>
      <c r="G164" s="54" t="s">
        <v>359</v>
      </c>
      <c r="H164" s="6">
        <v>475</v>
      </c>
      <c r="I164" s="55" t="s">
        <v>44</v>
      </c>
      <c r="J164" s="56" t="s">
        <v>366</v>
      </c>
      <c r="K164" s="63"/>
      <c r="L164" s="56"/>
      <c r="M164" s="56"/>
    </row>
    <row r="165" spans="1:13">
      <c r="A165" s="6"/>
      <c r="B165" s="6"/>
      <c r="C165" s="6" t="s">
        <v>254</v>
      </c>
      <c r="D165" s="5" t="s">
        <v>89</v>
      </c>
      <c r="E165" s="6" t="s">
        <v>362</v>
      </c>
      <c r="F165" s="6" t="s">
        <v>141</v>
      </c>
      <c r="G165" s="54" t="s">
        <v>78</v>
      </c>
      <c r="H165" s="6">
        <v>475</v>
      </c>
      <c r="I165" s="55" t="s">
        <v>44</v>
      </c>
      <c r="J165" s="56" t="s">
        <v>360</v>
      </c>
      <c r="K165" s="63"/>
      <c r="L165" s="56"/>
      <c r="M165" s="56"/>
    </row>
    <row r="166" spans="1:13">
      <c r="A166" s="6"/>
      <c r="B166" s="6"/>
      <c r="C166" s="6" t="s">
        <v>258</v>
      </c>
      <c r="D166" s="5" t="s">
        <v>89</v>
      </c>
      <c r="E166" s="6" t="s">
        <v>147</v>
      </c>
      <c r="F166" s="6" t="s">
        <v>141</v>
      </c>
      <c r="G166" s="54" t="s">
        <v>78</v>
      </c>
      <c r="H166" s="6">
        <v>475</v>
      </c>
      <c r="I166" s="55" t="s">
        <v>44</v>
      </c>
      <c r="J166" s="56" t="s">
        <v>360</v>
      </c>
      <c r="K166" s="63"/>
      <c r="L166" s="56"/>
      <c r="M166" s="56"/>
    </row>
    <row r="167" spans="1:13">
      <c r="A167" s="6"/>
      <c r="B167" s="6"/>
      <c r="C167" s="6" t="s">
        <v>259</v>
      </c>
      <c r="D167" s="5" t="s">
        <v>89</v>
      </c>
      <c r="E167" s="6" t="s">
        <v>147</v>
      </c>
      <c r="F167" s="6" t="s">
        <v>141</v>
      </c>
      <c r="G167" s="54" t="s">
        <v>78</v>
      </c>
      <c r="H167" s="6">
        <v>475</v>
      </c>
      <c r="I167" s="55" t="s">
        <v>44</v>
      </c>
      <c r="J167" s="56" t="s">
        <v>360</v>
      </c>
      <c r="K167" s="63"/>
      <c r="L167" s="56"/>
      <c r="M167" s="56"/>
    </row>
    <row r="168" spans="1:13">
      <c r="A168" s="12" t="s">
        <v>7</v>
      </c>
      <c r="B168" s="79" t="s">
        <v>798</v>
      </c>
      <c r="C168" s="12" t="s">
        <v>572</v>
      </c>
      <c r="D168" s="13" t="s">
        <v>89</v>
      </c>
      <c r="E168" s="12" t="s">
        <v>6</v>
      </c>
      <c r="F168" s="14" t="s">
        <v>43</v>
      </c>
      <c r="G168" s="15" t="s">
        <v>78</v>
      </c>
      <c r="H168" s="12">
        <v>475</v>
      </c>
      <c r="I168" s="28" t="s">
        <v>44</v>
      </c>
      <c r="J168" s="16" t="s">
        <v>65</v>
      </c>
      <c r="K168" s="64"/>
      <c r="L168" s="12"/>
      <c r="M168" s="12"/>
    </row>
    <row r="169" spans="1:13">
      <c r="A169" s="6"/>
      <c r="B169" s="6"/>
      <c r="C169" s="6" t="s">
        <v>255</v>
      </c>
      <c r="D169" s="5" t="s">
        <v>89</v>
      </c>
      <c r="E169" s="6" t="s">
        <v>362</v>
      </c>
      <c r="F169" s="6" t="s">
        <v>141</v>
      </c>
      <c r="G169" s="54" t="s">
        <v>78</v>
      </c>
      <c r="H169" s="6">
        <v>475</v>
      </c>
      <c r="I169" s="55" t="s">
        <v>44</v>
      </c>
      <c r="J169" s="56" t="s">
        <v>361</v>
      </c>
      <c r="K169" s="63"/>
      <c r="L169" s="56"/>
      <c r="M169" s="56"/>
    </row>
    <row r="170" spans="1:13">
      <c r="A170" s="6"/>
      <c r="B170" s="6"/>
      <c r="C170" s="6" t="s">
        <v>260</v>
      </c>
      <c r="D170" s="5" t="s">
        <v>89</v>
      </c>
      <c r="E170" s="6" t="s">
        <v>147</v>
      </c>
      <c r="F170" s="6" t="s">
        <v>141</v>
      </c>
      <c r="G170" s="54" t="s">
        <v>78</v>
      </c>
      <c r="H170" s="6">
        <v>475</v>
      </c>
      <c r="I170" s="55" t="s">
        <v>44</v>
      </c>
      <c r="J170" s="56" t="s">
        <v>361</v>
      </c>
      <c r="K170" s="63"/>
      <c r="L170" s="56"/>
      <c r="M170" s="56"/>
    </row>
    <row r="171" spans="1:13">
      <c r="A171" s="4"/>
      <c r="B171" s="4" t="s">
        <v>675</v>
      </c>
      <c r="C171" s="4"/>
      <c r="D171" s="29" t="s">
        <v>89</v>
      </c>
      <c r="E171" s="4" t="s">
        <v>6</v>
      </c>
      <c r="F171" s="22" t="s">
        <v>43</v>
      </c>
      <c r="G171" s="8" t="s">
        <v>78</v>
      </c>
      <c r="H171" s="4">
        <v>475</v>
      </c>
      <c r="I171" s="55" t="s">
        <v>44</v>
      </c>
      <c r="J171" s="60" t="s">
        <v>65</v>
      </c>
      <c r="K171" s="61"/>
      <c r="L171" s="4"/>
      <c r="M171" s="4"/>
    </row>
    <row r="172" spans="1:13">
      <c r="A172" s="6" t="s">
        <v>440</v>
      </c>
      <c r="B172" s="6"/>
      <c r="C172" s="6" t="s">
        <v>439</v>
      </c>
      <c r="D172" s="29" t="s">
        <v>108</v>
      </c>
      <c r="E172" s="4" t="s">
        <v>11</v>
      </c>
      <c r="F172" s="6" t="s">
        <v>41</v>
      </c>
      <c r="G172" s="54" t="s">
        <v>562</v>
      </c>
      <c r="H172" s="6">
        <v>100</v>
      </c>
      <c r="I172" s="55" t="s">
        <v>42</v>
      </c>
      <c r="J172" s="56" t="s">
        <v>64</v>
      </c>
      <c r="K172" s="56"/>
      <c r="L172" s="56"/>
      <c r="M172" s="53"/>
    </row>
    <row r="173" spans="1:13">
      <c r="A173" s="18" t="s">
        <v>34</v>
      </c>
      <c r="B173" s="18"/>
      <c r="C173" s="18" t="s">
        <v>173</v>
      </c>
      <c r="D173" s="19" t="s">
        <v>108</v>
      </c>
      <c r="E173" s="18" t="s">
        <v>11</v>
      </c>
      <c r="F173" s="18" t="s">
        <v>41</v>
      </c>
      <c r="G173" s="30" t="s">
        <v>562</v>
      </c>
      <c r="H173" s="18">
        <v>101</v>
      </c>
      <c r="I173" s="28" t="s">
        <v>22</v>
      </c>
      <c r="J173" s="20" t="s">
        <v>64</v>
      </c>
      <c r="K173" s="20"/>
      <c r="L173" s="20"/>
      <c r="M173" s="20"/>
    </row>
    <row r="174" spans="1:13">
      <c r="A174" s="6" t="s">
        <v>35</v>
      </c>
      <c r="B174" s="6"/>
      <c r="C174" s="6"/>
      <c r="D174" s="5" t="s">
        <v>108</v>
      </c>
      <c r="E174" s="6" t="s">
        <v>11</v>
      </c>
      <c r="F174" s="6" t="s">
        <v>40</v>
      </c>
      <c r="G174" s="54" t="s">
        <v>562</v>
      </c>
      <c r="H174" s="6">
        <v>102</v>
      </c>
      <c r="I174" s="55" t="s">
        <v>20</v>
      </c>
      <c r="J174" s="56" t="s">
        <v>64</v>
      </c>
      <c r="K174" s="56"/>
      <c r="L174" s="56"/>
      <c r="M174" s="56"/>
    </row>
    <row r="175" spans="1:13">
      <c r="A175" s="6" t="s">
        <v>442</v>
      </c>
      <c r="B175" s="6"/>
      <c r="C175" s="6" t="s">
        <v>441</v>
      </c>
      <c r="D175" s="29" t="s">
        <v>108</v>
      </c>
      <c r="E175" s="4" t="s">
        <v>11</v>
      </c>
      <c r="F175" s="6" t="s">
        <v>41</v>
      </c>
      <c r="G175" s="54" t="s">
        <v>562</v>
      </c>
      <c r="H175" s="6">
        <v>102</v>
      </c>
      <c r="I175" s="55" t="s">
        <v>42</v>
      </c>
      <c r="J175" s="56" t="s">
        <v>64</v>
      </c>
      <c r="K175" s="56"/>
      <c r="L175" s="56"/>
      <c r="M175" s="53"/>
    </row>
    <row r="176" spans="1:13">
      <c r="A176" s="6" t="s">
        <v>36</v>
      </c>
      <c r="B176" s="6"/>
      <c r="C176" s="6" t="s">
        <v>488</v>
      </c>
      <c r="D176" s="5" t="s">
        <v>108</v>
      </c>
      <c r="E176" s="6" t="s">
        <v>371</v>
      </c>
      <c r="F176" s="6" t="s">
        <v>403</v>
      </c>
      <c r="G176" s="54" t="s">
        <v>562</v>
      </c>
      <c r="H176" s="6">
        <v>103</v>
      </c>
      <c r="I176" s="55" t="s">
        <v>92</v>
      </c>
      <c r="J176" s="56" t="s">
        <v>375</v>
      </c>
      <c r="K176" s="63"/>
      <c r="L176" s="56"/>
      <c r="M176" s="56"/>
    </row>
    <row r="177" spans="1:13">
      <c r="A177" s="18" t="s">
        <v>12</v>
      </c>
      <c r="B177" s="18"/>
      <c r="C177" s="21" t="s">
        <v>490</v>
      </c>
      <c r="D177" s="19" t="s">
        <v>108</v>
      </c>
      <c r="E177" s="18" t="s">
        <v>11</v>
      </c>
      <c r="F177" s="18" t="s">
        <v>40</v>
      </c>
      <c r="G177" s="30" t="s">
        <v>562</v>
      </c>
      <c r="H177" s="18">
        <v>104</v>
      </c>
      <c r="I177" s="28" t="s">
        <v>20</v>
      </c>
      <c r="J177" s="20" t="s">
        <v>63</v>
      </c>
      <c r="K177" s="27"/>
      <c r="L177" s="20"/>
      <c r="M177" s="20"/>
    </row>
    <row r="178" spans="1:13">
      <c r="A178" s="6" t="s">
        <v>735</v>
      </c>
      <c r="B178" s="6" t="s">
        <v>682</v>
      </c>
      <c r="C178" s="6"/>
      <c r="D178" s="5" t="s">
        <v>108</v>
      </c>
      <c r="E178" s="4" t="s">
        <v>371</v>
      </c>
      <c r="F178" s="6" t="s">
        <v>403</v>
      </c>
      <c r="G178" s="54" t="s">
        <v>562</v>
      </c>
      <c r="H178" s="6">
        <v>105</v>
      </c>
      <c r="I178" s="55" t="s">
        <v>92</v>
      </c>
      <c r="J178" s="56" t="s">
        <v>367</v>
      </c>
      <c r="K178" s="57"/>
      <c r="L178" s="56"/>
      <c r="M178" s="53"/>
    </row>
    <row r="179" spans="1:13">
      <c r="A179" s="6"/>
      <c r="B179" s="6"/>
      <c r="C179" s="6" t="s">
        <v>499</v>
      </c>
      <c r="D179" s="29" t="s">
        <v>108</v>
      </c>
      <c r="E179" s="4" t="s">
        <v>371</v>
      </c>
      <c r="F179" s="6" t="s">
        <v>368</v>
      </c>
      <c r="G179" s="54" t="s">
        <v>562</v>
      </c>
      <c r="H179" s="6">
        <v>105</v>
      </c>
      <c r="I179" s="55" t="s">
        <v>92</v>
      </c>
      <c r="J179" s="56" t="s">
        <v>367</v>
      </c>
      <c r="K179" s="57"/>
      <c r="L179" s="56"/>
      <c r="M179" s="53"/>
    </row>
    <row r="180" spans="1:13">
      <c r="A180" s="6"/>
      <c r="B180" s="6"/>
      <c r="C180" s="6" t="s">
        <v>501</v>
      </c>
      <c r="D180" s="29" t="s">
        <v>108</v>
      </c>
      <c r="E180" s="4" t="s">
        <v>371</v>
      </c>
      <c r="F180" s="6" t="s">
        <v>368</v>
      </c>
      <c r="G180" s="54" t="s">
        <v>562</v>
      </c>
      <c r="H180" s="6">
        <v>105</v>
      </c>
      <c r="I180" s="55" t="s">
        <v>92</v>
      </c>
      <c r="J180" s="56" t="s">
        <v>367</v>
      </c>
      <c r="K180" s="57"/>
      <c r="L180" s="56"/>
      <c r="M180" s="53"/>
    </row>
    <row r="181" spans="1:13">
      <c r="A181" s="6" t="s">
        <v>168</v>
      </c>
      <c r="B181" s="6" t="s">
        <v>776</v>
      </c>
      <c r="C181" s="6" t="s">
        <v>169</v>
      </c>
      <c r="D181" s="5" t="s">
        <v>108</v>
      </c>
      <c r="E181" s="6" t="s">
        <v>11</v>
      </c>
      <c r="F181" s="6" t="s">
        <v>141</v>
      </c>
      <c r="G181" s="54" t="s">
        <v>78</v>
      </c>
      <c r="H181" s="6">
        <v>105</v>
      </c>
      <c r="I181" s="55" t="s">
        <v>20</v>
      </c>
      <c r="J181" s="56" t="s">
        <v>63</v>
      </c>
      <c r="K181" s="56"/>
      <c r="L181" s="56"/>
      <c r="M181" s="56"/>
    </row>
    <row r="182" spans="1:13">
      <c r="A182" s="18" t="s">
        <v>49</v>
      </c>
      <c r="B182" s="18" t="s">
        <v>683</v>
      </c>
      <c r="C182" s="18" t="s">
        <v>162</v>
      </c>
      <c r="D182" s="19" t="s">
        <v>108</v>
      </c>
      <c r="E182" s="18" t="s">
        <v>11</v>
      </c>
      <c r="F182" s="18" t="s">
        <v>40</v>
      </c>
      <c r="G182" s="30" t="s">
        <v>562</v>
      </c>
      <c r="H182" s="18">
        <v>105</v>
      </c>
      <c r="I182" s="28" t="s">
        <v>20</v>
      </c>
      <c r="J182" s="20" t="s">
        <v>63</v>
      </c>
      <c r="K182" s="66"/>
      <c r="L182" s="20"/>
      <c r="M182" s="20"/>
    </row>
    <row r="183" spans="1:13">
      <c r="A183" s="6"/>
      <c r="B183" s="6"/>
      <c r="C183" s="6" t="s">
        <v>502</v>
      </c>
      <c r="D183" s="29" t="s">
        <v>108</v>
      </c>
      <c r="E183" s="4" t="s">
        <v>371</v>
      </c>
      <c r="F183" s="6" t="s">
        <v>368</v>
      </c>
      <c r="G183" s="54" t="s">
        <v>562</v>
      </c>
      <c r="H183" s="6">
        <v>105</v>
      </c>
      <c r="I183" s="55" t="s">
        <v>92</v>
      </c>
      <c r="J183" s="56" t="s">
        <v>369</v>
      </c>
      <c r="K183" s="57"/>
      <c r="L183" s="56"/>
      <c r="M183" s="53"/>
    </row>
    <row r="184" spans="1:13">
      <c r="A184" s="6"/>
      <c r="B184" s="6"/>
      <c r="C184" s="6" t="s">
        <v>503</v>
      </c>
      <c r="D184" s="29" t="s">
        <v>108</v>
      </c>
      <c r="E184" s="4" t="s">
        <v>371</v>
      </c>
      <c r="F184" s="6" t="s">
        <v>368</v>
      </c>
      <c r="G184" s="54" t="s">
        <v>562</v>
      </c>
      <c r="H184" s="6">
        <v>105</v>
      </c>
      <c r="I184" s="55" t="s">
        <v>92</v>
      </c>
      <c r="J184" s="56" t="s">
        <v>369</v>
      </c>
      <c r="K184" s="57"/>
      <c r="L184" s="56"/>
      <c r="M184" s="53"/>
    </row>
    <row r="185" spans="1:13">
      <c r="A185" s="6" t="s">
        <v>775</v>
      </c>
      <c r="B185" s="6"/>
      <c r="C185" s="6" t="s">
        <v>774</v>
      </c>
      <c r="D185" s="5" t="s">
        <v>108</v>
      </c>
      <c r="E185" s="6" t="s">
        <v>11</v>
      </c>
      <c r="F185" s="6" t="s">
        <v>141</v>
      </c>
      <c r="G185" s="54" t="s">
        <v>78</v>
      </c>
      <c r="H185" s="6">
        <v>105</v>
      </c>
      <c r="I185" s="55" t="s">
        <v>92</v>
      </c>
      <c r="J185" s="56" t="s">
        <v>375</v>
      </c>
      <c r="K185" s="56"/>
      <c r="L185" s="56"/>
      <c r="M185" s="56"/>
    </row>
    <row r="186" spans="1:13">
      <c r="A186" s="18"/>
      <c r="B186" s="18" t="s">
        <v>758</v>
      </c>
      <c r="C186" s="18"/>
      <c r="D186" s="19" t="s">
        <v>108</v>
      </c>
      <c r="E186" s="18" t="s">
        <v>11</v>
      </c>
      <c r="F186" s="18" t="s">
        <v>40</v>
      </c>
      <c r="G186" s="30" t="s">
        <v>562</v>
      </c>
      <c r="H186" s="18">
        <v>105</v>
      </c>
      <c r="I186" s="28" t="s">
        <v>20</v>
      </c>
      <c r="J186" s="20" t="s">
        <v>64</v>
      </c>
      <c r="K186" s="66"/>
      <c r="L186" s="20"/>
      <c r="M186" s="20"/>
    </row>
    <row r="187" spans="1:13">
      <c r="A187" s="18" t="s">
        <v>411</v>
      </c>
      <c r="B187" s="18" t="s">
        <v>657</v>
      </c>
      <c r="C187" s="78" t="s">
        <v>574</v>
      </c>
      <c r="D187" s="13" t="s">
        <v>108</v>
      </c>
      <c r="E187" s="12" t="s">
        <v>371</v>
      </c>
      <c r="F187" s="18" t="s">
        <v>43</v>
      </c>
      <c r="G187" s="30" t="s">
        <v>78</v>
      </c>
      <c r="H187" s="18">
        <v>106</v>
      </c>
      <c r="I187" s="28" t="s">
        <v>92</v>
      </c>
      <c r="J187" s="20" t="s">
        <v>61</v>
      </c>
      <c r="K187" s="20"/>
      <c r="L187" s="20"/>
      <c r="M187" s="20"/>
    </row>
    <row r="188" spans="1:13">
      <c r="A188" s="6"/>
      <c r="B188" s="6"/>
      <c r="C188" s="6" t="s">
        <v>288</v>
      </c>
      <c r="D188" s="5" t="s">
        <v>108</v>
      </c>
      <c r="E188" s="6" t="s">
        <v>371</v>
      </c>
      <c r="F188" s="6" t="s">
        <v>363</v>
      </c>
      <c r="G188" s="54" t="s">
        <v>359</v>
      </c>
      <c r="H188" s="6">
        <v>106</v>
      </c>
      <c r="I188" s="55" t="s">
        <v>92</v>
      </c>
      <c r="J188" s="56" t="s">
        <v>364</v>
      </c>
      <c r="K188" s="56"/>
      <c r="L188" s="56"/>
      <c r="M188" s="56"/>
    </row>
    <row r="189" spans="1:13">
      <c r="A189" s="6"/>
      <c r="B189" s="6"/>
      <c r="C189" s="6" t="s">
        <v>292</v>
      </c>
      <c r="D189" s="5" t="s">
        <v>108</v>
      </c>
      <c r="E189" s="6" t="s">
        <v>371</v>
      </c>
      <c r="F189" s="6" t="s">
        <v>365</v>
      </c>
      <c r="G189" s="54" t="s">
        <v>562</v>
      </c>
      <c r="H189" s="6">
        <v>106</v>
      </c>
      <c r="I189" s="55" t="s">
        <v>92</v>
      </c>
      <c r="J189" s="56" t="s">
        <v>364</v>
      </c>
      <c r="K189" s="56"/>
      <c r="L189" s="56"/>
      <c r="M189" s="56"/>
    </row>
    <row r="190" spans="1:13">
      <c r="A190" s="6" t="s">
        <v>565</v>
      </c>
      <c r="B190" s="6" t="s">
        <v>773</v>
      </c>
      <c r="C190" s="6" t="s">
        <v>296</v>
      </c>
      <c r="D190" s="5" t="s">
        <v>108</v>
      </c>
      <c r="E190" s="6" t="s">
        <v>371</v>
      </c>
      <c r="F190" s="6" t="s">
        <v>141</v>
      </c>
      <c r="G190" s="54" t="s">
        <v>78</v>
      </c>
      <c r="H190" s="6">
        <v>106</v>
      </c>
      <c r="I190" s="55" t="s">
        <v>44</v>
      </c>
      <c r="J190" s="56" t="s">
        <v>364</v>
      </c>
      <c r="K190" s="56"/>
      <c r="L190" s="56"/>
      <c r="M190" s="56"/>
    </row>
    <row r="191" spans="1:13">
      <c r="A191" s="6"/>
      <c r="B191" s="6"/>
      <c r="C191" s="6" t="s">
        <v>745</v>
      </c>
      <c r="D191" s="5" t="s">
        <v>108</v>
      </c>
      <c r="E191" s="6" t="s">
        <v>371</v>
      </c>
      <c r="F191" s="6" t="s">
        <v>141</v>
      </c>
      <c r="G191" s="54" t="s">
        <v>78</v>
      </c>
      <c r="H191" s="6">
        <v>106</v>
      </c>
      <c r="I191" s="55" t="s">
        <v>44</v>
      </c>
      <c r="J191" s="56" t="s">
        <v>364</v>
      </c>
      <c r="K191" s="56"/>
      <c r="L191" s="56"/>
      <c r="M191" s="56"/>
    </row>
    <row r="192" spans="1:13">
      <c r="A192" s="6"/>
      <c r="B192" s="6"/>
      <c r="C192" s="6" t="s">
        <v>289</v>
      </c>
      <c r="D192" s="5" t="s">
        <v>108</v>
      </c>
      <c r="E192" s="6" t="s">
        <v>371</v>
      </c>
      <c r="F192" s="6" t="s">
        <v>363</v>
      </c>
      <c r="G192" s="54" t="s">
        <v>359</v>
      </c>
      <c r="H192" s="6">
        <v>106</v>
      </c>
      <c r="I192" s="55" t="s">
        <v>44</v>
      </c>
      <c r="J192" s="56" t="s">
        <v>364</v>
      </c>
      <c r="K192" s="56"/>
      <c r="L192" s="56"/>
      <c r="M192" s="56"/>
    </row>
    <row r="193" spans="1:13">
      <c r="A193" s="6"/>
      <c r="B193" s="6"/>
      <c r="C193" s="6" t="s">
        <v>293</v>
      </c>
      <c r="D193" s="5" t="s">
        <v>108</v>
      </c>
      <c r="E193" s="6" t="s">
        <v>371</v>
      </c>
      <c r="F193" s="6" t="s">
        <v>365</v>
      </c>
      <c r="G193" s="54" t="s">
        <v>562</v>
      </c>
      <c r="H193" s="6">
        <v>106</v>
      </c>
      <c r="I193" s="55" t="s">
        <v>44</v>
      </c>
      <c r="J193" s="56" t="s">
        <v>364</v>
      </c>
      <c r="K193" s="56"/>
      <c r="L193" s="56"/>
      <c r="M193" s="56"/>
    </row>
    <row r="194" spans="1:13">
      <c r="A194" s="6" t="s">
        <v>718</v>
      </c>
      <c r="B194" s="6"/>
      <c r="C194" s="6" t="s">
        <v>297</v>
      </c>
      <c r="D194" s="5" t="s">
        <v>108</v>
      </c>
      <c r="E194" s="6" t="s">
        <v>371</v>
      </c>
      <c r="F194" s="6" t="s">
        <v>141</v>
      </c>
      <c r="G194" s="54" t="s">
        <v>78</v>
      </c>
      <c r="H194" s="6">
        <v>106</v>
      </c>
      <c r="I194" s="55" t="s">
        <v>92</v>
      </c>
      <c r="J194" s="56" t="s">
        <v>367</v>
      </c>
      <c r="K194" s="56"/>
      <c r="L194" s="56"/>
      <c r="M194" s="56"/>
    </row>
    <row r="195" spans="1:13">
      <c r="A195" s="6" t="s">
        <v>719</v>
      </c>
      <c r="B195" s="6"/>
      <c r="C195" s="6" t="s">
        <v>298</v>
      </c>
      <c r="D195" s="5" t="s">
        <v>108</v>
      </c>
      <c r="E195" s="6" t="s">
        <v>371</v>
      </c>
      <c r="F195" s="6" t="s">
        <v>141</v>
      </c>
      <c r="G195" s="54" t="s">
        <v>78</v>
      </c>
      <c r="H195" s="6">
        <v>106</v>
      </c>
      <c r="I195" s="55" t="s">
        <v>44</v>
      </c>
      <c r="J195" s="56" t="s">
        <v>367</v>
      </c>
      <c r="K195" s="56"/>
      <c r="L195" s="56"/>
      <c r="M195" s="56"/>
    </row>
    <row r="196" spans="1:13">
      <c r="A196" s="6"/>
      <c r="B196" s="6"/>
      <c r="C196" s="6" t="s">
        <v>299</v>
      </c>
      <c r="D196" s="5" t="s">
        <v>108</v>
      </c>
      <c r="E196" s="6" t="s">
        <v>371</v>
      </c>
      <c r="F196" s="6" t="s">
        <v>141</v>
      </c>
      <c r="G196" s="54" t="s">
        <v>78</v>
      </c>
      <c r="H196" s="6">
        <v>106</v>
      </c>
      <c r="I196" s="55" t="s">
        <v>44</v>
      </c>
      <c r="J196" s="56" t="s">
        <v>367</v>
      </c>
      <c r="K196" s="56"/>
      <c r="L196" s="56"/>
      <c r="M196" s="56"/>
    </row>
    <row r="197" spans="1:13">
      <c r="A197" s="6"/>
      <c r="B197" s="6"/>
      <c r="C197" s="6" t="s">
        <v>290</v>
      </c>
      <c r="D197" s="5" t="s">
        <v>108</v>
      </c>
      <c r="E197" s="6" t="s">
        <v>371</v>
      </c>
      <c r="F197" s="6" t="s">
        <v>363</v>
      </c>
      <c r="G197" s="54" t="s">
        <v>359</v>
      </c>
      <c r="H197" s="6">
        <v>106</v>
      </c>
      <c r="I197" s="55" t="s">
        <v>44</v>
      </c>
      <c r="J197" s="56" t="s">
        <v>367</v>
      </c>
      <c r="K197" s="56"/>
      <c r="L197" s="56"/>
      <c r="M197" s="56"/>
    </row>
    <row r="198" spans="1:13">
      <c r="A198" s="6"/>
      <c r="B198" s="6"/>
      <c r="C198" s="6" t="s">
        <v>300</v>
      </c>
      <c r="D198" s="5" t="s">
        <v>108</v>
      </c>
      <c r="E198" s="6" t="s">
        <v>371</v>
      </c>
      <c r="F198" s="6" t="s">
        <v>141</v>
      </c>
      <c r="G198" s="54" t="s">
        <v>78</v>
      </c>
      <c r="H198" s="6">
        <v>106</v>
      </c>
      <c r="I198" s="55" t="s">
        <v>92</v>
      </c>
      <c r="J198" s="56" t="s">
        <v>366</v>
      </c>
      <c r="K198" s="56"/>
      <c r="L198" s="56"/>
      <c r="M198" s="56"/>
    </row>
    <row r="199" spans="1:13">
      <c r="A199" s="6"/>
      <c r="B199" s="6"/>
      <c r="C199" s="6" t="s">
        <v>278</v>
      </c>
      <c r="D199" s="5" t="s">
        <v>108</v>
      </c>
      <c r="E199" s="6" t="s">
        <v>371</v>
      </c>
      <c r="F199" s="6" t="s">
        <v>363</v>
      </c>
      <c r="G199" s="54" t="s">
        <v>359</v>
      </c>
      <c r="H199" s="6">
        <v>106</v>
      </c>
      <c r="I199" s="55" t="s">
        <v>92</v>
      </c>
      <c r="J199" s="56" t="s">
        <v>366</v>
      </c>
      <c r="K199" s="56"/>
      <c r="L199" s="56"/>
      <c r="M199" s="56"/>
    </row>
    <row r="200" spans="1:13">
      <c r="A200" s="6"/>
      <c r="B200" s="6"/>
      <c r="C200" s="6" t="s">
        <v>279</v>
      </c>
      <c r="D200" s="5" t="s">
        <v>108</v>
      </c>
      <c r="E200" s="6" t="s">
        <v>371</v>
      </c>
      <c r="F200" s="6" t="s">
        <v>363</v>
      </c>
      <c r="G200" s="54" t="s">
        <v>359</v>
      </c>
      <c r="H200" s="6">
        <v>106</v>
      </c>
      <c r="I200" s="55" t="s">
        <v>44</v>
      </c>
      <c r="J200" s="56" t="s">
        <v>366</v>
      </c>
      <c r="K200" s="56"/>
      <c r="L200" s="56"/>
      <c r="M200" s="56"/>
    </row>
    <row r="201" spans="1:13">
      <c r="A201" s="6" t="s">
        <v>685</v>
      </c>
      <c r="B201" s="6" t="s">
        <v>684</v>
      </c>
      <c r="C201" s="6" t="s">
        <v>681</v>
      </c>
      <c r="D201" s="5" t="s">
        <v>108</v>
      </c>
      <c r="E201" s="6" t="s">
        <v>371</v>
      </c>
      <c r="F201" s="6" t="s">
        <v>141</v>
      </c>
      <c r="G201" s="54" t="s">
        <v>78</v>
      </c>
      <c r="H201" s="6">
        <v>106</v>
      </c>
      <c r="I201" s="55" t="s">
        <v>44</v>
      </c>
      <c r="J201" s="56" t="s">
        <v>63</v>
      </c>
      <c r="K201" s="56"/>
      <c r="L201" s="56"/>
      <c r="M201" s="56"/>
    </row>
    <row r="202" spans="1:13">
      <c r="A202" s="6"/>
      <c r="B202" s="6"/>
      <c r="C202" s="6" t="s">
        <v>301</v>
      </c>
      <c r="D202" s="5" t="s">
        <v>108</v>
      </c>
      <c r="E202" s="6" t="s">
        <v>371</v>
      </c>
      <c r="F202" s="6" t="s">
        <v>141</v>
      </c>
      <c r="G202" s="54" t="s">
        <v>78</v>
      </c>
      <c r="H202" s="6">
        <v>106</v>
      </c>
      <c r="I202" s="55" t="s">
        <v>44</v>
      </c>
      <c r="J202" s="56" t="s">
        <v>370</v>
      </c>
      <c r="K202" s="56"/>
      <c r="L202" s="56"/>
      <c r="M202" s="56"/>
    </row>
    <row r="203" spans="1:13">
      <c r="A203" s="6"/>
      <c r="B203" s="6"/>
      <c r="C203" s="6" t="s">
        <v>280</v>
      </c>
      <c r="D203" s="5" t="s">
        <v>108</v>
      </c>
      <c r="E203" s="6" t="s">
        <v>371</v>
      </c>
      <c r="F203" s="6" t="s">
        <v>363</v>
      </c>
      <c r="G203" s="54" t="s">
        <v>359</v>
      </c>
      <c r="H203" s="6">
        <v>106</v>
      </c>
      <c r="I203" s="55" t="s">
        <v>92</v>
      </c>
      <c r="J203" s="56" t="s">
        <v>360</v>
      </c>
      <c r="K203" s="56"/>
      <c r="L203" s="56"/>
      <c r="M203" s="56"/>
    </row>
    <row r="204" spans="1:13">
      <c r="A204" s="6"/>
      <c r="B204" s="6"/>
      <c r="C204" s="6" t="s">
        <v>276</v>
      </c>
      <c r="D204" s="5" t="s">
        <v>108</v>
      </c>
      <c r="E204" s="6" t="s">
        <v>147</v>
      </c>
      <c r="F204" s="6" t="s">
        <v>141</v>
      </c>
      <c r="G204" s="54" t="s">
        <v>78</v>
      </c>
      <c r="H204" s="6">
        <v>106</v>
      </c>
      <c r="I204" s="55" t="s">
        <v>44</v>
      </c>
      <c r="J204" s="56" t="s">
        <v>360</v>
      </c>
      <c r="K204" s="56"/>
      <c r="L204" s="56"/>
      <c r="M204" s="56"/>
    </row>
    <row r="205" spans="1:13">
      <c r="A205" s="6"/>
      <c r="B205" s="6"/>
      <c r="C205" s="6" t="s">
        <v>294</v>
      </c>
      <c r="D205" s="5" t="s">
        <v>108</v>
      </c>
      <c r="E205" s="6" t="s">
        <v>371</v>
      </c>
      <c r="F205" s="6" t="s">
        <v>141</v>
      </c>
      <c r="G205" s="54" t="s">
        <v>78</v>
      </c>
      <c r="H205" s="6">
        <v>106</v>
      </c>
      <c r="I205" s="55" t="s">
        <v>44</v>
      </c>
      <c r="J205" s="56" t="s">
        <v>360</v>
      </c>
      <c r="K205" s="56"/>
      <c r="L205" s="56"/>
      <c r="M205" s="56"/>
    </row>
    <row r="206" spans="1:13">
      <c r="A206" s="6"/>
      <c r="B206" s="6"/>
      <c r="C206" s="6" t="s">
        <v>281</v>
      </c>
      <c r="D206" s="5" t="s">
        <v>108</v>
      </c>
      <c r="E206" s="6" t="s">
        <v>371</v>
      </c>
      <c r="F206" s="6" t="s">
        <v>363</v>
      </c>
      <c r="G206" s="54" t="s">
        <v>359</v>
      </c>
      <c r="H206" s="6">
        <v>106</v>
      </c>
      <c r="I206" s="55" t="s">
        <v>44</v>
      </c>
      <c r="J206" s="56" t="s">
        <v>360</v>
      </c>
      <c r="K206" s="56"/>
      <c r="L206" s="56"/>
      <c r="M206" s="56"/>
    </row>
    <row r="207" spans="1:13">
      <c r="A207" s="6"/>
      <c r="B207" s="6"/>
      <c r="C207" s="6" t="s">
        <v>282</v>
      </c>
      <c r="D207" s="5" t="s">
        <v>108</v>
      </c>
      <c r="E207" s="6" t="s">
        <v>371</v>
      </c>
      <c r="F207" s="6" t="s">
        <v>363</v>
      </c>
      <c r="G207" s="54" t="s">
        <v>359</v>
      </c>
      <c r="H207" s="6">
        <v>106</v>
      </c>
      <c r="I207" s="55" t="s">
        <v>44</v>
      </c>
      <c r="J207" s="56" t="s">
        <v>360</v>
      </c>
      <c r="K207" s="56"/>
      <c r="L207" s="56"/>
      <c r="M207" s="56"/>
    </row>
    <row r="208" spans="1:13">
      <c r="A208" s="6"/>
      <c r="B208" s="6"/>
      <c r="C208" s="6" t="s">
        <v>283</v>
      </c>
      <c r="D208" s="5" t="s">
        <v>108</v>
      </c>
      <c r="E208" s="6" t="s">
        <v>371</v>
      </c>
      <c r="F208" s="6" t="s">
        <v>363</v>
      </c>
      <c r="G208" s="54" t="s">
        <v>359</v>
      </c>
      <c r="H208" s="6">
        <v>106</v>
      </c>
      <c r="I208" s="55" t="s">
        <v>44</v>
      </c>
      <c r="J208" s="56" t="s">
        <v>360</v>
      </c>
      <c r="K208" s="56"/>
      <c r="L208" s="56"/>
      <c r="M208" s="56"/>
    </row>
    <row r="209" spans="1:13">
      <c r="A209" s="6"/>
      <c r="B209" s="6"/>
      <c r="C209" s="6" t="s">
        <v>692</v>
      </c>
      <c r="D209" s="5" t="s">
        <v>108</v>
      </c>
      <c r="E209" s="6" t="s">
        <v>371</v>
      </c>
      <c r="F209" s="6" t="s">
        <v>141</v>
      </c>
      <c r="G209" s="54" t="s">
        <v>78</v>
      </c>
      <c r="H209" s="6">
        <v>106</v>
      </c>
      <c r="I209" s="55" t="s">
        <v>92</v>
      </c>
      <c r="J209" s="56" t="s">
        <v>361</v>
      </c>
      <c r="K209" s="56"/>
      <c r="L209" s="56"/>
      <c r="M209" s="56"/>
    </row>
    <row r="210" spans="1:13">
      <c r="A210" s="6"/>
      <c r="B210" s="6"/>
      <c r="C210" s="6" t="s">
        <v>295</v>
      </c>
      <c r="D210" s="5" t="s">
        <v>108</v>
      </c>
      <c r="E210" s="6" t="s">
        <v>371</v>
      </c>
      <c r="F210" s="6" t="s">
        <v>141</v>
      </c>
      <c r="G210" s="54" t="s">
        <v>78</v>
      </c>
      <c r="H210" s="6">
        <v>106</v>
      </c>
      <c r="I210" s="55" t="s">
        <v>92</v>
      </c>
      <c r="J210" s="56" t="s">
        <v>361</v>
      </c>
      <c r="K210" s="56"/>
      <c r="L210" s="56"/>
      <c r="M210" s="56"/>
    </row>
    <row r="211" spans="1:13">
      <c r="A211" s="6"/>
      <c r="B211" s="6"/>
      <c r="C211" s="6" t="s">
        <v>284</v>
      </c>
      <c r="D211" s="5" t="s">
        <v>108</v>
      </c>
      <c r="E211" s="6" t="s">
        <v>371</v>
      </c>
      <c r="F211" s="6" t="s">
        <v>363</v>
      </c>
      <c r="G211" s="54" t="s">
        <v>359</v>
      </c>
      <c r="H211" s="6">
        <v>106</v>
      </c>
      <c r="I211" s="55" t="s">
        <v>92</v>
      </c>
      <c r="J211" s="56" t="s">
        <v>361</v>
      </c>
      <c r="K211" s="56"/>
      <c r="L211" s="56"/>
      <c r="M211" s="56"/>
    </row>
    <row r="212" spans="1:13">
      <c r="A212" s="6"/>
      <c r="B212" s="6"/>
      <c r="C212" s="6" t="s">
        <v>285</v>
      </c>
      <c r="D212" s="5" t="s">
        <v>108</v>
      </c>
      <c r="E212" s="6" t="s">
        <v>371</v>
      </c>
      <c r="F212" s="6" t="s">
        <v>363</v>
      </c>
      <c r="G212" s="54" t="s">
        <v>359</v>
      </c>
      <c r="H212" s="6">
        <v>106</v>
      </c>
      <c r="I212" s="55" t="s">
        <v>92</v>
      </c>
      <c r="J212" s="56" t="s">
        <v>361</v>
      </c>
      <c r="K212" s="56"/>
      <c r="L212" s="56"/>
      <c r="M212" s="56"/>
    </row>
    <row r="213" spans="1:13">
      <c r="A213" s="6" t="s">
        <v>720</v>
      </c>
      <c r="B213" s="6" t="s">
        <v>676</v>
      </c>
      <c r="C213" s="6" t="s">
        <v>277</v>
      </c>
      <c r="D213" s="5" t="s">
        <v>108</v>
      </c>
      <c r="E213" s="6" t="s">
        <v>147</v>
      </c>
      <c r="F213" s="6" t="s">
        <v>141</v>
      </c>
      <c r="G213" s="54" t="s">
        <v>78</v>
      </c>
      <c r="H213" s="6">
        <v>106</v>
      </c>
      <c r="I213" s="55" t="s">
        <v>44</v>
      </c>
      <c r="J213" s="56" t="s">
        <v>361</v>
      </c>
      <c r="K213" s="56"/>
      <c r="L213" s="56"/>
      <c r="M213" s="56"/>
    </row>
    <row r="214" spans="1:13">
      <c r="A214" s="6"/>
      <c r="B214" s="6"/>
      <c r="C214" s="6" t="s">
        <v>286</v>
      </c>
      <c r="D214" s="5" t="s">
        <v>108</v>
      </c>
      <c r="E214" s="6" t="s">
        <v>371</v>
      </c>
      <c r="F214" s="6" t="s">
        <v>363</v>
      </c>
      <c r="G214" s="54" t="s">
        <v>359</v>
      </c>
      <c r="H214" s="6">
        <v>106</v>
      </c>
      <c r="I214" s="55" t="s">
        <v>44</v>
      </c>
      <c r="J214" s="56" t="s">
        <v>361</v>
      </c>
      <c r="K214" s="56"/>
      <c r="L214" s="56"/>
      <c r="M214" s="56"/>
    </row>
    <row r="215" spans="1:13">
      <c r="A215" s="6"/>
      <c r="B215" s="6"/>
      <c r="C215" s="6" t="s">
        <v>287</v>
      </c>
      <c r="D215" s="5" t="s">
        <v>108</v>
      </c>
      <c r="E215" s="6" t="s">
        <v>371</v>
      </c>
      <c r="F215" s="6" t="s">
        <v>363</v>
      </c>
      <c r="G215" s="54" t="s">
        <v>359</v>
      </c>
      <c r="H215" s="6">
        <v>106</v>
      </c>
      <c r="I215" s="55" t="s">
        <v>44</v>
      </c>
      <c r="J215" s="56" t="s">
        <v>361</v>
      </c>
      <c r="K215" s="56"/>
      <c r="L215" s="56"/>
      <c r="M215" s="56"/>
    </row>
    <row r="216" spans="1:13">
      <c r="A216" s="6"/>
      <c r="B216" s="6"/>
      <c r="C216" s="6" t="s">
        <v>291</v>
      </c>
      <c r="D216" s="5" t="s">
        <v>108</v>
      </c>
      <c r="E216" s="6" t="s">
        <v>371</v>
      </c>
      <c r="F216" s="6" t="s">
        <v>365</v>
      </c>
      <c r="G216" s="54" t="s">
        <v>562</v>
      </c>
      <c r="H216" s="6">
        <v>106</v>
      </c>
      <c r="I216" s="55" t="s">
        <v>44</v>
      </c>
      <c r="J216" s="56" t="s">
        <v>361</v>
      </c>
      <c r="K216" s="56"/>
      <c r="L216" s="56"/>
      <c r="M216" s="56"/>
    </row>
    <row r="217" spans="1:13">
      <c r="A217" s="6" t="s">
        <v>444</v>
      </c>
      <c r="B217" s="6"/>
      <c r="C217" s="6" t="s">
        <v>443</v>
      </c>
      <c r="D217" s="29" t="s">
        <v>108</v>
      </c>
      <c r="E217" s="4" t="s">
        <v>11</v>
      </c>
      <c r="F217" s="6" t="s">
        <v>41</v>
      </c>
      <c r="G217" s="54" t="s">
        <v>562</v>
      </c>
      <c r="H217" s="6">
        <v>120</v>
      </c>
      <c r="I217" s="55" t="s">
        <v>42</v>
      </c>
      <c r="J217" s="56" t="s">
        <v>64</v>
      </c>
      <c r="K217" s="56"/>
      <c r="L217" s="56"/>
      <c r="M217" s="53"/>
    </row>
    <row r="218" spans="1:13">
      <c r="A218" s="6" t="s">
        <v>473</v>
      </c>
      <c r="B218" s="6"/>
      <c r="C218" s="6" t="s">
        <v>472</v>
      </c>
      <c r="D218" s="29" t="s">
        <v>108</v>
      </c>
      <c r="E218" s="4" t="s">
        <v>11</v>
      </c>
      <c r="F218" s="6" t="s">
        <v>40</v>
      </c>
      <c r="G218" s="54" t="s">
        <v>562</v>
      </c>
      <c r="H218" s="6">
        <v>122</v>
      </c>
      <c r="I218" s="55" t="s">
        <v>20</v>
      </c>
      <c r="J218" s="56" t="s">
        <v>64</v>
      </c>
      <c r="K218" s="56"/>
      <c r="L218" s="56"/>
      <c r="M218" s="53"/>
    </row>
    <row r="219" spans="1:13">
      <c r="A219" s="6" t="s">
        <v>31</v>
      </c>
      <c r="B219" s="6"/>
      <c r="C219" s="6" t="s">
        <v>445</v>
      </c>
      <c r="D219" s="29" t="s">
        <v>108</v>
      </c>
      <c r="E219" s="4" t="s">
        <v>11</v>
      </c>
      <c r="F219" s="6" t="s">
        <v>41</v>
      </c>
      <c r="G219" s="54" t="s">
        <v>562</v>
      </c>
      <c r="H219" s="6">
        <v>150</v>
      </c>
      <c r="I219" s="55" t="s">
        <v>42</v>
      </c>
      <c r="J219" s="56" t="s">
        <v>64</v>
      </c>
      <c r="K219" s="56"/>
      <c r="L219" s="56"/>
      <c r="M219" s="53"/>
    </row>
    <row r="220" spans="1:13">
      <c r="A220" s="6" t="s">
        <v>447</v>
      </c>
      <c r="B220" s="6"/>
      <c r="C220" s="6" t="s">
        <v>446</v>
      </c>
      <c r="D220" s="29" t="s">
        <v>108</v>
      </c>
      <c r="E220" s="4" t="s">
        <v>11</v>
      </c>
      <c r="F220" s="6" t="s">
        <v>41</v>
      </c>
      <c r="G220" s="54" t="s">
        <v>562</v>
      </c>
      <c r="H220" s="6">
        <v>180</v>
      </c>
      <c r="I220" s="55" t="s">
        <v>42</v>
      </c>
      <c r="J220" s="56" t="s">
        <v>64</v>
      </c>
      <c r="K220" s="56"/>
      <c r="L220" s="56"/>
      <c r="M220" s="53"/>
    </row>
    <row r="221" spans="1:13">
      <c r="A221" s="6" t="s">
        <v>449</v>
      </c>
      <c r="B221" s="6"/>
      <c r="C221" s="6" t="s">
        <v>448</v>
      </c>
      <c r="D221" s="29" t="s">
        <v>108</v>
      </c>
      <c r="E221" s="4" t="s">
        <v>11</v>
      </c>
      <c r="F221" s="6" t="s">
        <v>41</v>
      </c>
      <c r="G221" s="54" t="s">
        <v>562</v>
      </c>
      <c r="H221" s="6">
        <v>200</v>
      </c>
      <c r="I221" s="55" t="s">
        <v>42</v>
      </c>
      <c r="J221" s="56" t="s">
        <v>64</v>
      </c>
      <c r="K221" s="56"/>
      <c r="L221" s="56"/>
      <c r="M221" s="53"/>
    </row>
    <row r="222" spans="1:13">
      <c r="A222" s="6" t="s">
        <v>451</v>
      </c>
      <c r="B222" s="6"/>
      <c r="C222" s="6" t="s">
        <v>450</v>
      </c>
      <c r="D222" s="29" t="s">
        <v>108</v>
      </c>
      <c r="E222" s="4" t="s">
        <v>11</v>
      </c>
      <c r="F222" s="6" t="s">
        <v>41</v>
      </c>
      <c r="G222" s="54" t="s">
        <v>562</v>
      </c>
      <c r="H222" s="6">
        <v>220</v>
      </c>
      <c r="I222" s="55" t="s">
        <v>42</v>
      </c>
      <c r="J222" s="56" t="s">
        <v>64</v>
      </c>
      <c r="K222" s="56"/>
      <c r="L222" s="56"/>
      <c r="M222" s="53"/>
    </row>
    <row r="223" spans="1:13">
      <c r="A223" s="18" t="s">
        <v>33</v>
      </c>
      <c r="B223" s="18"/>
      <c r="C223" s="18" t="s">
        <v>174</v>
      </c>
      <c r="D223" s="19" t="s">
        <v>108</v>
      </c>
      <c r="E223" s="18" t="s">
        <v>11</v>
      </c>
      <c r="F223" s="18" t="s">
        <v>41</v>
      </c>
      <c r="G223" s="30" t="s">
        <v>562</v>
      </c>
      <c r="H223" s="18">
        <v>221</v>
      </c>
      <c r="I223" s="28" t="s">
        <v>42</v>
      </c>
      <c r="J223" s="20" t="s">
        <v>64</v>
      </c>
      <c r="K223" s="20"/>
      <c r="L223" s="20"/>
      <c r="M223" s="20"/>
    </row>
    <row r="224" spans="1:13">
      <c r="A224" s="18" t="s">
        <v>180</v>
      </c>
      <c r="B224" s="18"/>
      <c r="C224" s="18" t="s">
        <v>181</v>
      </c>
      <c r="D224" s="19" t="s">
        <v>108</v>
      </c>
      <c r="E224" s="18" t="s">
        <v>11</v>
      </c>
      <c r="F224" s="18" t="s">
        <v>40</v>
      </c>
      <c r="G224" s="30" t="s">
        <v>562</v>
      </c>
      <c r="H224" s="18">
        <v>223</v>
      </c>
      <c r="I224" s="28" t="s">
        <v>92</v>
      </c>
      <c r="J224" s="20" t="s">
        <v>64</v>
      </c>
      <c r="K224" s="20"/>
      <c r="L224" s="20"/>
      <c r="M224" s="20"/>
    </row>
    <row r="225" spans="1:13">
      <c r="A225" s="6" t="s">
        <v>467</v>
      </c>
      <c r="B225" s="6"/>
      <c r="C225" s="6" t="s">
        <v>466</v>
      </c>
      <c r="D225" s="29" t="s">
        <v>108</v>
      </c>
      <c r="E225" s="4" t="s">
        <v>11</v>
      </c>
      <c r="F225" s="6" t="s">
        <v>40</v>
      </c>
      <c r="G225" s="54" t="s">
        <v>562</v>
      </c>
      <c r="H225" s="6">
        <v>224</v>
      </c>
      <c r="I225" s="55" t="s">
        <v>20</v>
      </c>
      <c r="J225" s="56" t="s">
        <v>62</v>
      </c>
      <c r="K225" s="56"/>
      <c r="L225" s="56"/>
      <c r="M225" s="53"/>
    </row>
    <row r="226" spans="1:13">
      <c r="A226" s="6" t="s">
        <v>469</v>
      </c>
      <c r="B226" s="6"/>
      <c r="C226" s="6" t="s">
        <v>468</v>
      </c>
      <c r="D226" s="29" t="s">
        <v>108</v>
      </c>
      <c r="E226" s="4" t="s">
        <v>11</v>
      </c>
      <c r="F226" s="6" t="s">
        <v>40</v>
      </c>
      <c r="G226" s="54" t="s">
        <v>562</v>
      </c>
      <c r="H226" s="6">
        <v>224</v>
      </c>
      <c r="I226" s="55" t="s">
        <v>20</v>
      </c>
      <c r="J226" s="56" t="s">
        <v>63</v>
      </c>
      <c r="K226" s="56"/>
      <c r="L226" s="56"/>
      <c r="M226" s="53"/>
    </row>
    <row r="227" spans="1:13">
      <c r="A227" s="6"/>
      <c r="B227" s="6"/>
      <c r="C227" s="6" t="s">
        <v>491</v>
      </c>
      <c r="D227" s="5" t="s">
        <v>108</v>
      </c>
      <c r="E227" s="6" t="s">
        <v>371</v>
      </c>
      <c r="F227" s="6" t="s">
        <v>403</v>
      </c>
      <c r="G227" s="54" t="s">
        <v>562</v>
      </c>
      <c r="H227" s="6">
        <v>224</v>
      </c>
      <c r="I227" s="55" t="s">
        <v>92</v>
      </c>
      <c r="J227" s="56" t="s">
        <v>375</v>
      </c>
      <c r="K227" s="63"/>
      <c r="L227" s="56"/>
      <c r="M227" s="56"/>
    </row>
    <row r="228" spans="1:13">
      <c r="A228" s="6" t="s">
        <v>475</v>
      </c>
      <c r="B228" s="6"/>
      <c r="C228" s="6" t="s">
        <v>474</v>
      </c>
      <c r="D228" s="29" t="s">
        <v>108</v>
      </c>
      <c r="E228" s="4" t="s">
        <v>11</v>
      </c>
      <c r="F228" s="6" t="s">
        <v>40</v>
      </c>
      <c r="G228" s="54" t="s">
        <v>562</v>
      </c>
      <c r="H228" s="6">
        <v>224</v>
      </c>
      <c r="I228" s="55" t="s">
        <v>20</v>
      </c>
      <c r="J228" s="56" t="s">
        <v>64</v>
      </c>
      <c r="K228" s="56"/>
      <c r="L228" s="56"/>
      <c r="M228" s="53"/>
    </row>
    <row r="229" spans="1:13">
      <c r="A229" s="18" t="s">
        <v>677</v>
      </c>
      <c r="B229" s="18" t="s">
        <v>679</v>
      </c>
      <c r="C229" s="18"/>
      <c r="D229" s="19" t="s">
        <v>108</v>
      </c>
      <c r="E229" s="18" t="s">
        <v>371</v>
      </c>
      <c r="F229" s="18" t="s">
        <v>141</v>
      </c>
      <c r="G229" s="30" t="s">
        <v>78</v>
      </c>
      <c r="H229" s="18">
        <v>225</v>
      </c>
      <c r="I229" s="28" t="s">
        <v>92</v>
      </c>
      <c r="J229" s="20" t="s">
        <v>61</v>
      </c>
      <c r="K229" s="20"/>
      <c r="L229" s="20"/>
      <c r="M229" s="20"/>
    </row>
    <row r="230" spans="1:13">
      <c r="A230" s="6"/>
      <c r="B230" s="6"/>
      <c r="C230" s="6" t="s">
        <v>319</v>
      </c>
      <c r="D230" s="5" t="s">
        <v>108</v>
      </c>
      <c r="E230" s="6" t="s">
        <v>371</v>
      </c>
      <c r="F230" s="6" t="s">
        <v>141</v>
      </c>
      <c r="G230" s="54" t="s">
        <v>78</v>
      </c>
      <c r="H230" s="6">
        <v>225</v>
      </c>
      <c r="I230" s="55" t="s">
        <v>92</v>
      </c>
      <c r="J230" s="56" t="s">
        <v>364</v>
      </c>
      <c r="K230" s="56"/>
      <c r="L230" s="56"/>
      <c r="M230" s="56"/>
    </row>
    <row r="231" spans="1:13">
      <c r="A231" s="6"/>
      <c r="B231" s="6"/>
      <c r="C231" s="6" t="s">
        <v>318</v>
      </c>
      <c r="D231" s="5" t="s">
        <v>108</v>
      </c>
      <c r="E231" s="6" t="s">
        <v>371</v>
      </c>
      <c r="F231" s="6" t="s">
        <v>141</v>
      </c>
      <c r="G231" s="54" t="s">
        <v>78</v>
      </c>
      <c r="H231" s="6">
        <v>225</v>
      </c>
      <c r="I231" s="55" t="s">
        <v>92</v>
      </c>
      <c r="J231" s="56" t="s">
        <v>364</v>
      </c>
      <c r="K231" s="56"/>
      <c r="L231" s="56"/>
      <c r="M231" s="56"/>
    </row>
    <row r="232" spans="1:13">
      <c r="A232" s="6"/>
      <c r="B232" s="6"/>
      <c r="C232" s="6" t="s">
        <v>316</v>
      </c>
      <c r="D232" s="5" t="s">
        <v>108</v>
      </c>
      <c r="E232" s="6" t="s">
        <v>371</v>
      </c>
      <c r="F232" s="6" t="s">
        <v>363</v>
      </c>
      <c r="G232" s="54" t="s">
        <v>359</v>
      </c>
      <c r="H232" s="6">
        <v>225</v>
      </c>
      <c r="I232" s="55" t="s">
        <v>92</v>
      </c>
      <c r="J232" s="56" t="s">
        <v>364</v>
      </c>
      <c r="K232" s="56"/>
      <c r="L232" s="56"/>
      <c r="M232" s="56"/>
    </row>
    <row r="233" spans="1:13">
      <c r="A233" s="18" t="s">
        <v>736</v>
      </c>
      <c r="B233" s="18"/>
      <c r="C233" s="18" t="s">
        <v>551</v>
      </c>
      <c r="D233" s="13" t="s">
        <v>108</v>
      </c>
      <c r="E233" s="12" t="s">
        <v>371</v>
      </c>
      <c r="F233" s="18" t="s">
        <v>40</v>
      </c>
      <c r="G233" s="30" t="s">
        <v>562</v>
      </c>
      <c r="H233" s="18">
        <v>225</v>
      </c>
      <c r="I233" s="28" t="s">
        <v>92</v>
      </c>
      <c r="J233" s="20" t="s">
        <v>364</v>
      </c>
      <c r="K233" s="27"/>
      <c r="L233" s="20"/>
      <c r="M233" s="20"/>
    </row>
    <row r="234" spans="1:13">
      <c r="A234" s="6"/>
      <c r="B234" s="6"/>
      <c r="C234" s="6" t="s">
        <v>498</v>
      </c>
      <c r="D234" s="29" t="s">
        <v>108</v>
      </c>
      <c r="E234" s="4" t="s">
        <v>371</v>
      </c>
      <c r="F234" s="6" t="s">
        <v>368</v>
      </c>
      <c r="G234" s="54" t="s">
        <v>562</v>
      </c>
      <c r="H234" s="6">
        <v>225</v>
      </c>
      <c r="I234" s="55" t="s">
        <v>92</v>
      </c>
      <c r="J234" s="56" t="s">
        <v>364</v>
      </c>
      <c r="K234" s="57"/>
      <c r="L234" s="56"/>
      <c r="M234" s="53"/>
    </row>
    <row r="235" spans="1:13">
      <c r="A235" s="6"/>
      <c r="B235" s="6"/>
      <c r="C235" s="6" t="s">
        <v>317</v>
      </c>
      <c r="D235" s="5" t="s">
        <v>108</v>
      </c>
      <c r="E235" s="6" t="s">
        <v>371</v>
      </c>
      <c r="F235" s="6" t="s">
        <v>141</v>
      </c>
      <c r="G235" s="54" t="s">
        <v>78</v>
      </c>
      <c r="H235" s="6">
        <v>225</v>
      </c>
      <c r="I235" s="55" t="s">
        <v>44</v>
      </c>
      <c r="J235" s="56" t="s">
        <v>364</v>
      </c>
      <c r="K235" s="56"/>
      <c r="L235" s="56"/>
      <c r="M235" s="56"/>
    </row>
    <row r="236" spans="1:13">
      <c r="A236" s="18" t="s">
        <v>405</v>
      </c>
      <c r="B236" s="74" t="s">
        <v>752</v>
      </c>
      <c r="C236" s="18" t="s">
        <v>315</v>
      </c>
      <c r="D236" s="19" t="s">
        <v>108</v>
      </c>
      <c r="E236" s="18" t="s">
        <v>371</v>
      </c>
      <c r="F236" s="18" t="s">
        <v>141</v>
      </c>
      <c r="G236" s="30" t="s">
        <v>78</v>
      </c>
      <c r="H236" s="18">
        <v>225</v>
      </c>
      <c r="I236" s="28" t="s">
        <v>92</v>
      </c>
      <c r="J236" s="20" t="s">
        <v>367</v>
      </c>
      <c r="K236" s="20"/>
      <c r="L236" s="20"/>
      <c r="M236" s="20"/>
    </row>
    <row r="237" spans="1:13">
      <c r="A237" s="18" t="s">
        <v>158</v>
      </c>
      <c r="B237" s="18"/>
      <c r="C237" s="78" t="s">
        <v>553</v>
      </c>
      <c r="D237" s="19" t="s">
        <v>108</v>
      </c>
      <c r="E237" s="18" t="s">
        <v>11</v>
      </c>
      <c r="F237" s="18" t="s">
        <v>141</v>
      </c>
      <c r="G237" s="30" t="s">
        <v>78</v>
      </c>
      <c r="H237" s="18">
        <v>225</v>
      </c>
      <c r="I237" s="28" t="s">
        <v>20</v>
      </c>
      <c r="J237" s="20" t="s">
        <v>63</v>
      </c>
      <c r="K237" s="66"/>
      <c r="L237" s="20"/>
      <c r="M237" s="20"/>
    </row>
    <row r="238" spans="1:13">
      <c r="A238" s="12" t="s">
        <v>721</v>
      </c>
      <c r="B238" s="12"/>
      <c r="C238" s="75" t="s">
        <v>107</v>
      </c>
      <c r="D238" s="13" t="s">
        <v>108</v>
      </c>
      <c r="E238" s="12" t="s">
        <v>11</v>
      </c>
      <c r="F238" s="14" t="s">
        <v>43</v>
      </c>
      <c r="G238" s="15" t="s">
        <v>78</v>
      </c>
      <c r="H238" s="12">
        <v>225</v>
      </c>
      <c r="I238" s="28" t="s">
        <v>92</v>
      </c>
      <c r="J238" s="16" t="s">
        <v>64</v>
      </c>
      <c r="K238" s="12"/>
      <c r="L238" s="12"/>
      <c r="M238" s="12"/>
    </row>
    <row r="239" spans="1:13">
      <c r="A239" s="6" t="s">
        <v>722</v>
      </c>
      <c r="B239" s="6"/>
      <c r="C239" s="6" t="s">
        <v>323</v>
      </c>
      <c r="D239" s="5" t="s">
        <v>108</v>
      </c>
      <c r="E239" s="6" t="s">
        <v>371</v>
      </c>
      <c r="F239" s="6" t="s">
        <v>141</v>
      </c>
      <c r="G239" s="54" t="s">
        <v>78</v>
      </c>
      <c r="H239" s="6">
        <v>225</v>
      </c>
      <c r="I239" s="55" t="s">
        <v>92</v>
      </c>
      <c r="J239" s="56" t="s">
        <v>361</v>
      </c>
      <c r="K239" s="56"/>
      <c r="L239" s="56"/>
      <c r="M239" s="56"/>
    </row>
    <row r="240" spans="1:13">
      <c r="A240" s="6"/>
      <c r="B240" s="6"/>
      <c r="C240" s="6" t="s">
        <v>322</v>
      </c>
      <c r="D240" s="5" t="s">
        <v>108</v>
      </c>
      <c r="E240" s="6" t="s">
        <v>371</v>
      </c>
      <c r="F240" s="6" t="s">
        <v>141</v>
      </c>
      <c r="G240" s="54" t="s">
        <v>78</v>
      </c>
      <c r="H240" s="6">
        <v>225</v>
      </c>
      <c r="I240" s="55" t="s">
        <v>92</v>
      </c>
      <c r="J240" s="56" t="s">
        <v>361</v>
      </c>
      <c r="K240" s="56"/>
      <c r="L240" s="56"/>
      <c r="M240" s="56"/>
    </row>
    <row r="241" spans="1:13">
      <c r="A241" s="6"/>
      <c r="B241" s="6"/>
      <c r="C241" s="6" t="s">
        <v>325</v>
      </c>
      <c r="D241" s="5" t="s">
        <v>108</v>
      </c>
      <c r="E241" s="6" t="s">
        <v>371</v>
      </c>
      <c r="F241" s="6" t="s">
        <v>363</v>
      </c>
      <c r="G241" s="54" t="s">
        <v>359</v>
      </c>
      <c r="H241" s="6">
        <v>225</v>
      </c>
      <c r="I241" s="55" t="s">
        <v>92</v>
      </c>
      <c r="J241" s="56" t="s">
        <v>361</v>
      </c>
      <c r="K241" s="56"/>
      <c r="L241" s="56"/>
      <c r="M241" s="56"/>
    </row>
    <row r="242" spans="1:13">
      <c r="A242" s="6"/>
      <c r="B242" s="6"/>
      <c r="C242" s="6" t="s">
        <v>500</v>
      </c>
      <c r="D242" s="29" t="s">
        <v>108</v>
      </c>
      <c r="E242" s="4" t="s">
        <v>371</v>
      </c>
      <c r="F242" s="6" t="s">
        <v>368</v>
      </c>
      <c r="G242" s="54" t="s">
        <v>562</v>
      </c>
      <c r="H242" s="6">
        <v>225</v>
      </c>
      <c r="I242" s="55" t="s">
        <v>92</v>
      </c>
      <c r="J242" s="56" t="s">
        <v>361</v>
      </c>
      <c r="K242" s="57"/>
      <c r="L242" s="56"/>
      <c r="M242" s="53"/>
    </row>
    <row r="243" spans="1:13">
      <c r="A243" s="6" t="s">
        <v>723</v>
      </c>
      <c r="B243" s="6"/>
      <c r="C243" s="6" t="s">
        <v>321</v>
      </c>
      <c r="D243" s="5" t="s">
        <v>108</v>
      </c>
      <c r="E243" s="6" t="s">
        <v>371</v>
      </c>
      <c r="F243" s="6" t="s">
        <v>141</v>
      </c>
      <c r="G243" s="54" t="s">
        <v>78</v>
      </c>
      <c r="H243" s="6">
        <v>225</v>
      </c>
      <c r="I243" s="55" t="s">
        <v>44</v>
      </c>
      <c r="J243" s="56" t="s">
        <v>361</v>
      </c>
      <c r="K243" s="56"/>
      <c r="L243" s="56"/>
      <c r="M243" s="56"/>
    </row>
    <row r="244" spans="1:13">
      <c r="A244" s="6"/>
      <c r="B244" s="6"/>
      <c r="C244" s="6" t="s">
        <v>320</v>
      </c>
      <c r="D244" s="5" t="s">
        <v>108</v>
      </c>
      <c r="E244" s="6" t="s">
        <v>371</v>
      </c>
      <c r="F244" s="6" t="s">
        <v>141</v>
      </c>
      <c r="G244" s="54" t="s">
        <v>78</v>
      </c>
      <c r="H244" s="6">
        <v>225</v>
      </c>
      <c r="I244" s="55" t="s">
        <v>44</v>
      </c>
      <c r="J244" s="56" t="s">
        <v>361</v>
      </c>
      <c r="K244" s="56"/>
      <c r="L244" s="56"/>
      <c r="M244" s="56"/>
    </row>
    <row r="245" spans="1:13">
      <c r="A245" s="6"/>
      <c r="B245" s="6"/>
      <c r="C245" s="6" t="s">
        <v>324</v>
      </c>
      <c r="D245" s="5" t="s">
        <v>108</v>
      </c>
      <c r="E245" s="6" t="s">
        <v>371</v>
      </c>
      <c r="F245" s="6" t="s">
        <v>363</v>
      </c>
      <c r="G245" s="54" t="s">
        <v>359</v>
      </c>
      <c r="H245" s="6">
        <v>225</v>
      </c>
      <c r="I245" s="55" t="s">
        <v>44</v>
      </c>
      <c r="J245" s="56" t="s">
        <v>361</v>
      </c>
      <c r="K245" s="56"/>
      <c r="L245" s="56"/>
      <c r="M245" s="56"/>
    </row>
    <row r="246" spans="1:13">
      <c r="A246" s="18" t="s">
        <v>560</v>
      </c>
      <c r="B246" s="74" t="s">
        <v>188</v>
      </c>
      <c r="C246" s="18"/>
      <c r="D246" s="19" t="s">
        <v>108</v>
      </c>
      <c r="E246" s="18" t="s">
        <v>11</v>
      </c>
      <c r="F246" s="18" t="s">
        <v>43</v>
      </c>
      <c r="G246" s="30" t="s">
        <v>78</v>
      </c>
      <c r="H246" s="18">
        <v>226</v>
      </c>
      <c r="I246" s="28" t="s">
        <v>44</v>
      </c>
      <c r="J246" s="20" t="s">
        <v>61</v>
      </c>
      <c r="K246" s="20"/>
      <c r="L246" s="20"/>
      <c r="M246" s="20"/>
    </row>
    <row r="247" spans="1:13">
      <c r="A247" s="6"/>
      <c r="B247" s="6"/>
      <c r="C247" s="6" t="s">
        <v>305</v>
      </c>
      <c r="D247" s="5" t="s">
        <v>108</v>
      </c>
      <c r="E247" s="6" t="s">
        <v>373</v>
      </c>
      <c r="F247" s="6" t="s">
        <v>141</v>
      </c>
      <c r="G247" s="54" t="s">
        <v>78</v>
      </c>
      <c r="H247" s="6">
        <v>226</v>
      </c>
      <c r="I247" s="55" t="s">
        <v>44</v>
      </c>
      <c r="J247" s="56" t="s">
        <v>364</v>
      </c>
      <c r="K247" s="56"/>
      <c r="L247" s="56"/>
      <c r="M247" s="56"/>
    </row>
    <row r="248" spans="1:13">
      <c r="A248" s="6" t="s">
        <v>560</v>
      </c>
      <c r="B248" s="6"/>
      <c r="C248" s="6" t="s">
        <v>312</v>
      </c>
      <c r="D248" s="5" t="s">
        <v>108</v>
      </c>
      <c r="E248" s="6" t="s">
        <v>371</v>
      </c>
      <c r="F248" s="6" t="s">
        <v>141</v>
      </c>
      <c r="G248" s="54" t="s">
        <v>78</v>
      </c>
      <c r="H248" s="6">
        <v>226</v>
      </c>
      <c r="I248" s="55" t="s">
        <v>44</v>
      </c>
      <c r="J248" s="56" t="s">
        <v>364</v>
      </c>
      <c r="K248" s="56"/>
      <c r="L248" s="56"/>
      <c r="M248" s="56"/>
    </row>
    <row r="249" spans="1:13">
      <c r="A249" s="6"/>
      <c r="B249" s="6"/>
      <c r="C249" s="6" t="s">
        <v>302</v>
      </c>
      <c r="D249" s="5" t="s">
        <v>108</v>
      </c>
      <c r="E249" s="6" t="s">
        <v>372</v>
      </c>
      <c r="F249" s="6" t="s">
        <v>141</v>
      </c>
      <c r="G249" s="54" t="s">
        <v>78</v>
      </c>
      <c r="H249" s="6">
        <v>226</v>
      </c>
      <c r="I249" s="55" t="s">
        <v>44</v>
      </c>
      <c r="J249" s="56" t="s">
        <v>360</v>
      </c>
      <c r="K249" s="56"/>
      <c r="L249" s="56"/>
      <c r="M249" s="56"/>
    </row>
    <row r="250" spans="1:13">
      <c r="A250" s="6"/>
      <c r="B250" s="6"/>
      <c r="C250" s="6" t="s">
        <v>309</v>
      </c>
      <c r="D250" s="5" t="s">
        <v>108</v>
      </c>
      <c r="E250" s="6" t="s">
        <v>371</v>
      </c>
      <c r="F250" s="6" t="s">
        <v>141</v>
      </c>
      <c r="G250" s="54" t="s">
        <v>78</v>
      </c>
      <c r="H250" s="6">
        <v>226</v>
      </c>
      <c r="I250" s="55" t="s">
        <v>44</v>
      </c>
      <c r="J250" s="56" t="s">
        <v>360</v>
      </c>
      <c r="K250" s="56"/>
      <c r="L250" s="56"/>
      <c r="M250" s="56"/>
    </row>
    <row r="251" spans="1:13">
      <c r="A251" s="6"/>
      <c r="B251" s="6"/>
      <c r="C251" s="6" t="s">
        <v>306</v>
      </c>
      <c r="D251" s="5" t="s">
        <v>108</v>
      </c>
      <c r="E251" s="6" t="s">
        <v>371</v>
      </c>
      <c r="F251" s="6" t="s">
        <v>363</v>
      </c>
      <c r="G251" s="54" t="s">
        <v>359</v>
      </c>
      <c r="H251" s="6">
        <v>226</v>
      </c>
      <c r="I251" s="55" t="s">
        <v>44</v>
      </c>
      <c r="J251" s="56" t="s">
        <v>360</v>
      </c>
      <c r="K251" s="56"/>
      <c r="L251" s="56"/>
      <c r="M251" s="56"/>
    </row>
    <row r="252" spans="1:13">
      <c r="A252" s="6"/>
      <c r="B252" s="6"/>
      <c r="C252" s="6" t="s">
        <v>307</v>
      </c>
      <c r="D252" s="5" t="s">
        <v>108</v>
      </c>
      <c r="E252" s="6" t="s">
        <v>371</v>
      </c>
      <c r="F252" s="6" t="s">
        <v>363</v>
      </c>
      <c r="G252" s="54" t="s">
        <v>359</v>
      </c>
      <c r="H252" s="6">
        <v>226</v>
      </c>
      <c r="I252" s="55" t="s">
        <v>44</v>
      </c>
      <c r="J252" s="56" t="s">
        <v>360</v>
      </c>
      <c r="K252" s="56"/>
      <c r="L252" s="56"/>
      <c r="M252" s="56"/>
    </row>
    <row r="253" spans="1:13">
      <c r="A253" s="6"/>
      <c r="B253" s="6"/>
      <c r="C253" s="6" t="s">
        <v>303</v>
      </c>
      <c r="D253" s="5" t="s">
        <v>108</v>
      </c>
      <c r="E253" s="6" t="s">
        <v>372</v>
      </c>
      <c r="F253" s="6" t="s">
        <v>141</v>
      </c>
      <c r="G253" s="54" t="s">
        <v>78</v>
      </c>
      <c r="H253" s="6">
        <v>226</v>
      </c>
      <c r="I253" s="55" t="s">
        <v>44</v>
      </c>
      <c r="J253" s="56" t="s">
        <v>361</v>
      </c>
      <c r="K253" s="56"/>
      <c r="L253" s="56"/>
      <c r="M253" s="56"/>
    </row>
    <row r="254" spans="1:13">
      <c r="A254" s="6"/>
      <c r="B254" s="6"/>
      <c r="C254" s="6" t="s">
        <v>304</v>
      </c>
      <c r="D254" s="5" t="s">
        <v>108</v>
      </c>
      <c r="E254" s="6" t="s">
        <v>373</v>
      </c>
      <c r="F254" s="6" t="s">
        <v>141</v>
      </c>
      <c r="G254" s="54" t="s">
        <v>78</v>
      </c>
      <c r="H254" s="6">
        <v>226</v>
      </c>
      <c r="I254" s="55" t="s">
        <v>44</v>
      </c>
      <c r="J254" s="56" t="s">
        <v>361</v>
      </c>
      <c r="K254" s="56"/>
      <c r="L254" s="56"/>
      <c r="M254" s="56"/>
    </row>
    <row r="255" spans="1:13">
      <c r="A255" s="6"/>
      <c r="B255" s="6"/>
      <c r="C255" s="6" t="s">
        <v>310</v>
      </c>
      <c r="D255" s="5" t="s">
        <v>108</v>
      </c>
      <c r="E255" s="6" t="s">
        <v>371</v>
      </c>
      <c r="F255" s="6" t="s">
        <v>141</v>
      </c>
      <c r="G255" s="54" t="s">
        <v>78</v>
      </c>
      <c r="H255" s="6">
        <v>226</v>
      </c>
      <c r="I255" s="55" t="s">
        <v>44</v>
      </c>
      <c r="J255" s="56" t="s">
        <v>361</v>
      </c>
      <c r="K255" s="56"/>
      <c r="L255" s="56"/>
      <c r="M255" s="56"/>
    </row>
    <row r="256" spans="1:13">
      <c r="A256" s="6" t="s">
        <v>47</v>
      </c>
      <c r="B256" s="6" t="s">
        <v>664</v>
      </c>
      <c r="C256" s="6" t="s">
        <v>757</v>
      </c>
      <c r="D256" s="5" t="s">
        <v>108</v>
      </c>
      <c r="E256" s="6" t="s">
        <v>371</v>
      </c>
      <c r="F256" s="6" t="s">
        <v>141</v>
      </c>
      <c r="G256" s="54" t="s">
        <v>78</v>
      </c>
      <c r="H256" s="6">
        <v>226</v>
      </c>
      <c r="I256" s="55" t="s">
        <v>44</v>
      </c>
      <c r="J256" s="56" t="s">
        <v>361</v>
      </c>
      <c r="K256" s="56"/>
      <c r="L256" s="56"/>
      <c r="M256" s="56"/>
    </row>
    <row r="257" spans="1:13">
      <c r="A257" s="6"/>
      <c r="B257" s="6"/>
      <c r="C257" s="6" t="s">
        <v>308</v>
      </c>
      <c r="D257" s="5" t="s">
        <v>108</v>
      </c>
      <c r="E257" s="6" t="s">
        <v>371</v>
      </c>
      <c r="F257" s="6" t="s">
        <v>363</v>
      </c>
      <c r="G257" s="54" t="s">
        <v>359</v>
      </c>
      <c r="H257" s="6">
        <v>226</v>
      </c>
      <c r="I257" s="55" t="s">
        <v>44</v>
      </c>
      <c r="J257" s="56" t="s">
        <v>361</v>
      </c>
      <c r="K257" s="56"/>
      <c r="L257" s="56"/>
      <c r="M257" s="56"/>
    </row>
    <row r="258" spans="1:13">
      <c r="A258" s="6" t="e">
        <f>VLOOKUP(C258,[1]MLCC!$N$1941:$P$1948,3,0)</f>
        <v>#N/A</v>
      </c>
      <c r="B258" s="6"/>
      <c r="C258" s="6" t="s">
        <v>784</v>
      </c>
      <c r="D258" s="5" t="s">
        <v>108</v>
      </c>
      <c r="E258" s="4" t="s">
        <v>11</v>
      </c>
      <c r="F258" s="6" t="s">
        <v>75</v>
      </c>
      <c r="G258" s="54" t="str">
        <f>VLOOKUP(F258,材質!A:B,2,0)</f>
        <v xml:space="preserve">-55 to 105℃  </v>
      </c>
      <c r="H258" s="6">
        <v>226</v>
      </c>
      <c r="I258" s="55" t="s">
        <v>44</v>
      </c>
      <c r="J258" s="56" t="s">
        <v>65</v>
      </c>
      <c r="K258" s="57"/>
      <c r="L258" s="56"/>
      <c r="M258" s="53"/>
    </row>
    <row r="259" spans="1:13">
      <c r="A259" s="6" t="s">
        <v>453</v>
      </c>
      <c r="B259" s="6"/>
      <c r="C259" s="6" t="s">
        <v>452</v>
      </c>
      <c r="D259" s="29" t="s">
        <v>108</v>
      </c>
      <c r="E259" s="4" t="s">
        <v>11</v>
      </c>
      <c r="F259" s="6" t="s">
        <v>41</v>
      </c>
      <c r="G259" s="54" t="s">
        <v>562</v>
      </c>
      <c r="H259" s="6">
        <v>271</v>
      </c>
      <c r="I259" s="55" t="s">
        <v>42</v>
      </c>
      <c r="J259" s="56" t="s">
        <v>64</v>
      </c>
      <c r="K259" s="56"/>
      <c r="L259" s="56"/>
      <c r="M259" s="53"/>
    </row>
    <row r="260" spans="1:13">
      <c r="A260" s="6" t="s">
        <v>477</v>
      </c>
      <c r="B260" s="6"/>
      <c r="C260" s="6" t="s">
        <v>476</v>
      </c>
      <c r="D260" s="29" t="s">
        <v>108</v>
      </c>
      <c r="E260" s="4" t="s">
        <v>11</v>
      </c>
      <c r="F260" s="6" t="s">
        <v>40</v>
      </c>
      <c r="G260" s="54" t="s">
        <v>562</v>
      </c>
      <c r="H260" s="6">
        <v>272</v>
      </c>
      <c r="I260" s="55" t="s">
        <v>20</v>
      </c>
      <c r="J260" s="56" t="s">
        <v>64</v>
      </c>
      <c r="K260" s="56"/>
      <c r="L260" s="56"/>
      <c r="M260" s="53"/>
    </row>
    <row r="261" spans="1:13">
      <c r="A261" s="6" t="s">
        <v>455</v>
      </c>
      <c r="B261" s="6"/>
      <c r="C261" s="6" t="s">
        <v>454</v>
      </c>
      <c r="D261" s="29" t="s">
        <v>108</v>
      </c>
      <c r="E261" s="4" t="s">
        <v>11</v>
      </c>
      <c r="F261" s="6" t="s">
        <v>41</v>
      </c>
      <c r="G261" s="54" t="s">
        <v>562</v>
      </c>
      <c r="H261" s="6">
        <v>330</v>
      </c>
      <c r="I261" s="55" t="s">
        <v>42</v>
      </c>
      <c r="J261" s="56" t="s">
        <v>64</v>
      </c>
      <c r="K261" s="56"/>
      <c r="L261" s="56"/>
      <c r="M261" s="53"/>
    </row>
    <row r="262" spans="1:13">
      <c r="A262" s="6" t="s">
        <v>457</v>
      </c>
      <c r="B262" s="6"/>
      <c r="C262" s="6" t="s">
        <v>456</v>
      </c>
      <c r="D262" s="29" t="s">
        <v>108</v>
      </c>
      <c r="E262" s="4" t="s">
        <v>11</v>
      </c>
      <c r="F262" s="6" t="s">
        <v>41</v>
      </c>
      <c r="G262" s="54" t="s">
        <v>562</v>
      </c>
      <c r="H262" s="6">
        <v>331</v>
      </c>
      <c r="I262" s="55" t="s">
        <v>42</v>
      </c>
      <c r="J262" s="56" t="s">
        <v>64</v>
      </c>
      <c r="K262" s="56"/>
      <c r="L262" s="56"/>
      <c r="M262" s="53"/>
    </row>
    <row r="263" spans="1:13">
      <c r="A263" s="6"/>
      <c r="B263" s="6"/>
      <c r="C263" s="6" t="s">
        <v>333</v>
      </c>
      <c r="D263" s="5" t="s">
        <v>108</v>
      </c>
      <c r="E263" s="6" t="s">
        <v>371</v>
      </c>
      <c r="F263" s="6" t="s">
        <v>141</v>
      </c>
      <c r="G263" s="54" t="s">
        <v>78</v>
      </c>
      <c r="H263" s="6">
        <v>335</v>
      </c>
      <c r="I263" s="55" t="s">
        <v>92</v>
      </c>
      <c r="J263" s="56" t="s">
        <v>364</v>
      </c>
      <c r="K263" s="56"/>
      <c r="L263" s="56"/>
      <c r="M263" s="56"/>
    </row>
    <row r="264" spans="1:13">
      <c r="A264" s="6"/>
      <c r="B264" s="6"/>
      <c r="C264" s="6" t="s">
        <v>334</v>
      </c>
      <c r="D264" s="5" t="s">
        <v>108</v>
      </c>
      <c r="E264" s="6" t="s">
        <v>371</v>
      </c>
      <c r="F264" s="6" t="s">
        <v>141</v>
      </c>
      <c r="G264" s="54" t="s">
        <v>78</v>
      </c>
      <c r="H264" s="6">
        <v>335</v>
      </c>
      <c r="I264" s="55" t="s">
        <v>44</v>
      </c>
      <c r="J264" s="56" t="s">
        <v>364</v>
      </c>
      <c r="K264" s="56"/>
      <c r="L264" s="56"/>
      <c r="M264" s="56"/>
    </row>
    <row r="265" spans="1:13">
      <c r="A265" s="6" t="s">
        <v>479</v>
      </c>
      <c r="B265" s="6"/>
      <c r="C265" s="6" t="s">
        <v>478</v>
      </c>
      <c r="D265" s="29" t="s">
        <v>108</v>
      </c>
      <c r="E265" s="4" t="s">
        <v>11</v>
      </c>
      <c r="F265" s="6" t="s">
        <v>40</v>
      </c>
      <c r="G265" s="54" t="s">
        <v>562</v>
      </c>
      <c r="H265" s="6">
        <v>392</v>
      </c>
      <c r="I265" s="55" t="s">
        <v>20</v>
      </c>
      <c r="J265" s="56" t="s">
        <v>64</v>
      </c>
      <c r="K265" s="56"/>
      <c r="L265" s="56"/>
      <c r="M265" s="53"/>
    </row>
    <row r="266" spans="1:13">
      <c r="A266" s="6" t="s">
        <v>459</v>
      </c>
      <c r="B266" s="6"/>
      <c r="C266" s="6" t="s">
        <v>458</v>
      </c>
      <c r="D266" s="29" t="s">
        <v>108</v>
      </c>
      <c r="E266" s="4" t="s">
        <v>11</v>
      </c>
      <c r="F266" s="6" t="s">
        <v>41</v>
      </c>
      <c r="G266" s="54" t="s">
        <v>562</v>
      </c>
      <c r="H266" s="6">
        <v>470</v>
      </c>
      <c r="I266" s="55" t="s">
        <v>42</v>
      </c>
      <c r="J266" s="56" t="s">
        <v>64</v>
      </c>
      <c r="K266" s="56"/>
      <c r="L266" s="56"/>
      <c r="M266" s="53"/>
    </row>
    <row r="267" spans="1:13">
      <c r="A267" s="18" t="s">
        <v>175</v>
      </c>
      <c r="B267" s="18"/>
      <c r="C267" s="18" t="s">
        <v>177</v>
      </c>
      <c r="D267" s="19" t="s">
        <v>108</v>
      </c>
      <c r="E267" s="18" t="s">
        <v>11</v>
      </c>
      <c r="F267" s="18" t="s">
        <v>41</v>
      </c>
      <c r="G267" s="30" t="s">
        <v>562</v>
      </c>
      <c r="H267" s="18">
        <v>471</v>
      </c>
      <c r="I267" s="28" t="s">
        <v>42</v>
      </c>
      <c r="J267" s="20" t="s">
        <v>64</v>
      </c>
      <c r="K267" s="20"/>
      <c r="L267" s="20"/>
      <c r="M267" s="20"/>
    </row>
    <row r="268" spans="1:13">
      <c r="A268" s="6" t="s">
        <v>461</v>
      </c>
      <c r="B268" s="6"/>
      <c r="C268" s="6" t="s">
        <v>460</v>
      </c>
      <c r="D268" s="29" t="s">
        <v>108</v>
      </c>
      <c r="E268" s="4" t="s">
        <v>11</v>
      </c>
      <c r="F268" s="6" t="s">
        <v>41</v>
      </c>
      <c r="G268" s="54" t="s">
        <v>562</v>
      </c>
      <c r="H268" s="6">
        <v>471</v>
      </c>
      <c r="I268" s="55" t="s">
        <v>42</v>
      </c>
      <c r="J268" s="56" t="s">
        <v>64</v>
      </c>
      <c r="K268" s="56"/>
      <c r="L268" s="56"/>
      <c r="M268" s="53"/>
    </row>
    <row r="269" spans="1:13">
      <c r="A269" s="18" t="s">
        <v>178</v>
      </c>
      <c r="B269" s="18"/>
      <c r="C269" s="18" t="s">
        <v>179</v>
      </c>
      <c r="D269" s="19" t="s">
        <v>108</v>
      </c>
      <c r="E269" s="18" t="s">
        <v>11</v>
      </c>
      <c r="F269" s="18" t="s">
        <v>41</v>
      </c>
      <c r="G269" s="30" t="s">
        <v>562</v>
      </c>
      <c r="H269" s="18">
        <v>472</v>
      </c>
      <c r="I269" s="28" t="s">
        <v>42</v>
      </c>
      <c r="J269" s="20" t="s">
        <v>64</v>
      </c>
      <c r="K269" s="20"/>
      <c r="L269" s="20"/>
      <c r="M269" s="20"/>
    </row>
    <row r="270" spans="1:13">
      <c r="A270" s="6" t="s">
        <v>463</v>
      </c>
      <c r="B270" s="6"/>
      <c r="C270" s="6" t="s">
        <v>462</v>
      </c>
      <c r="D270" s="29" t="s">
        <v>108</v>
      </c>
      <c r="E270" s="4" t="s">
        <v>11</v>
      </c>
      <c r="F270" s="6" t="s">
        <v>41</v>
      </c>
      <c r="G270" s="54" t="s">
        <v>562</v>
      </c>
      <c r="H270" s="6">
        <v>472</v>
      </c>
      <c r="I270" s="55" t="s">
        <v>42</v>
      </c>
      <c r="J270" s="56" t="s">
        <v>64</v>
      </c>
      <c r="K270" s="56"/>
      <c r="L270" s="56"/>
      <c r="M270" s="53"/>
    </row>
    <row r="271" spans="1:13">
      <c r="A271" s="6" t="s">
        <v>481</v>
      </c>
      <c r="B271" s="6"/>
      <c r="C271" s="6" t="s">
        <v>480</v>
      </c>
      <c r="D271" s="29" t="s">
        <v>108</v>
      </c>
      <c r="E271" s="4" t="s">
        <v>11</v>
      </c>
      <c r="F271" s="6" t="s">
        <v>40</v>
      </c>
      <c r="G271" s="54" t="s">
        <v>562</v>
      </c>
      <c r="H271" s="6">
        <v>473</v>
      </c>
      <c r="I271" s="55" t="s">
        <v>20</v>
      </c>
      <c r="J271" s="56" t="s">
        <v>64</v>
      </c>
      <c r="K271" s="56"/>
      <c r="L271" s="56"/>
      <c r="M271" s="53"/>
    </row>
    <row r="272" spans="1:13">
      <c r="A272" s="6" t="s">
        <v>737</v>
      </c>
      <c r="B272" s="6"/>
      <c r="C272" s="6" t="s">
        <v>489</v>
      </c>
      <c r="D272" s="5" t="s">
        <v>108</v>
      </c>
      <c r="E272" s="6" t="s">
        <v>371</v>
      </c>
      <c r="F272" s="6" t="s">
        <v>403</v>
      </c>
      <c r="G272" s="54" t="s">
        <v>562</v>
      </c>
      <c r="H272" s="6">
        <v>474</v>
      </c>
      <c r="I272" s="55" t="s">
        <v>92</v>
      </c>
      <c r="J272" s="56" t="s">
        <v>367</v>
      </c>
      <c r="K272" s="63"/>
      <c r="L272" s="56"/>
      <c r="M272" s="56"/>
    </row>
    <row r="273" spans="1:13">
      <c r="A273" s="6" t="s">
        <v>471</v>
      </c>
      <c r="B273" s="6"/>
      <c r="C273" s="6" t="s">
        <v>470</v>
      </c>
      <c r="D273" s="29" t="s">
        <v>108</v>
      </c>
      <c r="E273" s="4" t="s">
        <v>11</v>
      </c>
      <c r="F273" s="6" t="s">
        <v>40</v>
      </c>
      <c r="G273" s="54" t="s">
        <v>562</v>
      </c>
      <c r="H273" s="6">
        <v>474</v>
      </c>
      <c r="I273" s="55" t="s">
        <v>20</v>
      </c>
      <c r="J273" s="56" t="s">
        <v>63</v>
      </c>
      <c r="K273" s="56"/>
      <c r="L273" s="56"/>
      <c r="M273" s="53"/>
    </row>
    <row r="274" spans="1:13">
      <c r="A274" s="6" t="s">
        <v>725</v>
      </c>
      <c r="B274" s="6" t="s">
        <v>544</v>
      </c>
      <c r="C274" s="6" t="s">
        <v>327</v>
      </c>
      <c r="D274" s="5" t="s">
        <v>108</v>
      </c>
      <c r="E274" s="6" t="s">
        <v>371</v>
      </c>
      <c r="F274" s="6" t="s">
        <v>141</v>
      </c>
      <c r="G274" s="54" t="s">
        <v>78</v>
      </c>
      <c r="H274" s="6">
        <v>475</v>
      </c>
      <c r="I274" s="55" t="s">
        <v>92</v>
      </c>
      <c r="J274" s="56" t="s">
        <v>364</v>
      </c>
      <c r="K274" s="56"/>
      <c r="L274" s="56"/>
      <c r="M274" s="56"/>
    </row>
    <row r="275" spans="1:13">
      <c r="A275" s="6" t="s">
        <v>724</v>
      </c>
      <c r="B275" s="6"/>
      <c r="C275" s="6" t="s">
        <v>335</v>
      </c>
      <c r="D275" s="5" t="s">
        <v>108</v>
      </c>
      <c r="E275" s="6" t="s">
        <v>371</v>
      </c>
      <c r="F275" s="6" t="s">
        <v>141</v>
      </c>
      <c r="G275" s="54" t="s">
        <v>78</v>
      </c>
      <c r="H275" s="6">
        <v>475</v>
      </c>
      <c r="I275" s="55" t="s">
        <v>44</v>
      </c>
      <c r="J275" s="56" t="s">
        <v>61</v>
      </c>
      <c r="K275" s="56"/>
      <c r="L275" s="56"/>
      <c r="M275" s="56"/>
    </row>
    <row r="276" spans="1:13">
      <c r="A276" s="18" t="s">
        <v>406</v>
      </c>
      <c r="B276" s="18"/>
      <c r="C276" s="18" t="s">
        <v>639</v>
      </c>
      <c r="D276" s="19" t="s">
        <v>108</v>
      </c>
      <c r="E276" s="18" t="s">
        <v>371</v>
      </c>
      <c r="F276" s="18" t="s">
        <v>141</v>
      </c>
      <c r="G276" s="30" t="s">
        <v>78</v>
      </c>
      <c r="H276" s="18">
        <v>475</v>
      </c>
      <c r="I276" s="28" t="s">
        <v>92</v>
      </c>
      <c r="J276" s="20" t="s">
        <v>369</v>
      </c>
      <c r="K276" s="20"/>
      <c r="L276" s="20"/>
      <c r="M276" s="20"/>
    </row>
    <row r="277" spans="1:13">
      <c r="A277" s="6"/>
      <c r="B277" s="6"/>
      <c r="C277" s="6" t="s">
        <v>328</v>
      </c>
      <c r="D277" s="5" t="s">
        <v>108</v>
      </c>
      <c r="E277" s="6" t="s">
        <v>371</v>
      </c>
      <c r="F277" s="6" t="s">
        <v>363</v>
      </c>
      <c r="G277" s="54" t="s">
        <v>359</v>
      </c>
      <c r="H277" s="6">
        <v>475</v>
      </c>
      <c r="I277" s="55" t="s">
        <v>92</v>
      </c>
      <c r="J277" s="56" t="s">
        <v>360</v>
      </c>
      <c r="K277" s="56"/>
      <c r="L277" s="56"/>
      <c r="M277" s="56"/>
    </row>
    <row r="278" spans="1:13">
      <c r="A278" s="6"/>
      <c r="B278" s="6"/>
      <c r="C278" s="6" t="s">
        <v>329</v>
      </c>
      <c r="D278" s="5" t="s">
        <v>108</v>
      </c>
      <c r="E278" s="6" t="s">
        <v>371</v>
      </c>
      <c r="F278" s="6" t="s">
        <v>363</v>
      </c>
      <c r="G278" s="54" t="s">
        <v>359</v>
      </c>
      <c r="H278" s="6">
        <v>475</v>
      </c>
      <c r="I278" s="55" t="s">
        <v>44</v>
      </c>
      <c r="J278" s="56" t="s">
        <v>360</v>
      </c>
      <c r="K278" s="56"/>
      <c r="L278" s="56"/>
      <c r="M278" s="56"/>
    </row>
    <row r="279" spans="1:13">
      <c r="A279" s="6" t="s">
        <v>726</v>
      </c>
      <c r="B279" s="6" t="s">
        <v>680</v>
      </c>
      <c r="C279" s="6" t="s">
        <v>612</v>
      </c>
      <c r="D279" s="5" t="s">
        <v>108</v>
      </c>
      <c r="E279" s="6" t="s">
        <v>371</v>
      </c>
      <c r="F279" s="6" t="s">
        <v>141</v>
      </c>
      <c r="G279" s="54" t="s">
        <v>78</v>
      </c>
      <c r="H279" s="6">
        <v>475</v>
      </c>
      <c r="I279" s="55" t="s">
        <v>92</v>
      </c>
      <c r="J279" s="56" t="s">
        <v>361</v>
      </c>
      <c r="K279" s="56"/>
      <c r="L279" s="56"/>
      <c r="M279" s="56"/>
    </row>
    <row r="280" spans="1:13">
      <c r="A280" s="6"/>
      <c r="B280" s="6"/>
      <c r="C280" s="6" t="s">
        <v>330</v>
      </c>
      <c r="D280" s="5" t="s">
        <v>108</v>
      </c>
      <c r="E280" s="6" t="s">
        <v>371</v>
      </c>
      <c r="F280" s="6" t="s">
        <v>363</v>
      </c>
      <c r="G280" s="54" t="s">
        <v>359</v>
      </c>
      <c r="H280" s="6">
        <v>475</v>
      </c>
      <c r="I280" s="55" t="s">
        <v>92</v>
      </c>
      <c r="J280" s="56" t="s">
        <v>361</v>
      </c>
      <c r="K280" s="56"/>
      <c r="L280" s="56"/>
      <c r="M280" s="56"/>
    </row>
    <row r="281" spans="1:13">
      <c r="A281" s="6" t="s">
        <v>727</v>
      </c>
      <c r="B281" s="6"/>
      <c r="C281" s="6" t="s">
        <v>326</v>
      </c>
      <c r="D281" s="5" t="s">
        <v>108</v>
      </c>
      <c r="E281" s="6" t="s">
        <v>371</v>
      </c>
      <c r="F281" s="6" t="s">
        <v>141</v>
      </c>
      <c r="G281" s="54" t="s">
        <v>78</v>
      </c>
      <c r="H281" s="6">
        <v>475</v>
      </c>
      <c r="I281" s="55" t="s">
        <v>44</v>
      </c>
      <c r="J281" s="56" t="s">
        <v>361</v>
      </c>
      <c r="K281" s="56"/>
      <c r="L281" s="56"/>
      <c r="M281" s="56"/>
    </row>
    <row r="282" spans="1:13">
      <c r="A282" s="6"/>
      <c r="B282" s="6"/>
      <c r="C282" s="6" t="s">
        <v>331</v>
      </c>
      <c r="D282" s="5" t="s">
        <v>108</v>
      </c>
      <c r="E282" s="6" t="s">
        <v>371</v>
      </c>
      <c r="F282" s="6" t="s">
        <v>363</v>
      </c>
      <c r="G282" s="54" t="s">
        <v>359</v>
      </c>
      <c r="H282" s="6">
        <v>475</v>
      </c>
      <c r="I282" s="55" t="s">
        <v>44</v>
      </c>
      <c r="J282" s="56" t="s">
        <v>361</v>
      </c>
      <c r="K282" s="56"/>
      <c r="L282" s="56"/>
      <c r="M282" s="56"/>
    </row>
    <row r="283" spans="1:13">
      <c r="A283" s="6"/>
      <c r="B283" s="6"/>
      <c r="C283" s="6" t="s">
        <v>332</v>
      </c>
      <c r="D283" s="5" t="s">
        <v>108</v>
      </c>
      <c r="E283" s="6" t="s">
        <v>371</v>
      </c>
      <c r="F283" s="6" t="s">
        <v>363</v>
      </c>
      <c r="G283" s="54" t="s">
        <v>359</v>
      </c>
      <c r="H283" s="6">
        <v>475</v>
      </c>
      <c r="I283" s="55" t="s">
        <v>44</v>
      </c>
      <c r="J283" s="56" t="s">
        <v>361</v>
      </c>
      <c r="K283" s="56"/>
      <c r="L283" s="56"/>
      <c r="M283" s="56"/>
    </row>
    <row r="284" spans="1:13">
      <c r="A284" s="18" t="s">
        <v>744</v>
      </c>
      <c r="B284" s="74" t="s">
        <v>759</v>
      </c>
      <c r="C284" s="18"/>
      <c r="D284" s="19" t="s">
        <v>108</v>
      </c>
      <c r="E284" s="18" t="s">
        <v>11</v>
      </c>
      <c r="F284" s="18" t="s">
        <v>141</v>
      </c>
      <c r="G284" s="30" t="s">
        <v>78</v>
      </c>
      <c r="H284" s="18">
        <v>476</v>
      </c>
      <c r="I284" s="28" t="s">
        <v>44</v>
      </c>
      <c r="J284" s="20" t="s">
        <v>149</v>
      </c>
      <c r="K284" s="20"/>
      <c r="L284" s="20"/>
      <c r="M284" s="20"/>
    </row>
    <row r="285" spans="1:13">
      <c r="A285" s="12" t="s">
        <v>743</v>
      </c>
      <c r="B285" s="12"/>
      <c r="C285" s="12"/>
      <c r="D285" s="13" t="s">
        <v>108</v>
      </c>
      <c r="E285" s="18"/>
      <c r="F285" s="14" t="s">
        <v>43</v>
      </c>
      <c r="G285" s="15" t="s">
        <v>78</v>
      </c>
      <c r="H285" s="12">
        <v>476</v>
      </c>
      <c r="I285" s="28" t="s">
        <v>44</v>
      </c>
      <c r="J285" s="16" t="s">
        <v>65</v>
      </c>
      <c r="K285" s="12"/>
      <c r="L285" s="12"/>
      <c r="M285" s="12"/>
    </row>
    <row r="286" spans="1:13">
      <c r="A286" s="6" t="s">
        <v>465</v>
      </c>
      <c r="B286" s="6"/>
      <c r="C286" s="6" t="s">
        <v>464</v>
      </c>
      <c r="D286" s="29" t="s">
        <v>108</v>
      </c>
      <c r="E286" s="4" t="s">
        <v>11</v>
      </c>
      <c r="F286" s="6" t="s">
        <v>41</v>
      </c>
      <c r="G286" s="54" t="s">
        <v>562</v>
      </c>
      <c r="H286" s="6">
        <v>561</v>
      </c>
      <c r="I286" s="55" t="s">
        <v>42</v>
      </c>
      <c r="J286" s="56" t="s">
        <v>64</v>
      </c>
      <c r="K286" s="56"/>
      <c r="L286" s="56"/>
      <c r="M286" s="53"/>
    </row>
    <row r="287" spans="1:13">
      <c r="A287" s="6" t="s">
        <v>483</v>
      </c>
      <c r="B287" s="6"/>
      <c r="C287" s="6" t="s">
        <v>482</v>
      </c>
      <c r="D287" s="29" t="s">
        <v>108</v>
      </c>
      <c r="E287" s="4" t="s">
        <v>11</v>
      </c>
      <c r="F287" s="6" t="s">
        <v>40</v>
      </c>
      <c r="G287" s="54" t="s">
        <v>562</v>
      </c>
      <c r="H287" s="6">
        <v>562</v>
      </c>
      <c r="I287" s="55" t="s">
        <v>20</v>
      </c>
      <c r="J287" s="56" t="s">
        <v>64</v>
      </c>
      <c r="K287" s="56"/>
      <c r="L287" s="56"/>
      <c r="M287" s="53"/>
    </row>
    <row r="288" spans="1:13">
      <c r="A288" s="6"/>
      <c r="B288" s="6"/>
      <c r="C288" s="6" t="s">
        <v>492</v>
      </c>
      <c r="D288" s="5" t="s">
        <v>108</v>
      </c>
      <c r="E288" s="6" t="s">
        <v>371</v>
      </c>
      <c r="F288" s="6" t="s">
        <v>403</v>
      </c>
      <c r="G288" s="54" t="s">
        <v>562</v>
      </c>
      <c r="H288" s="6">
        <v>682</v>
      </c>
      <c r="I288" s="55" t="s">
        <v>92</v>
      </c>
      <c r="J288" s="56" t="s">
        <v>375</v>
      </c>
      <c r="K288" s="63"/>
      <c r="L288" s="56"/>
      <c r="M288" s="56"/>
    </row>
    <row r="289" spans="1:13">
      <c r="A289" s="6"/>
      <c r="B289" s="6"/>
      <c r="C289" s="6" t="s">
        <v>313</v>
      </c>
      <c r="D289" s="5" t="s">
        <v>108</v>
      </c>
      <c r="E289" s="6"/>
      <c r="F289" s="6"/>
      <c r="G289" s="54" t="s">
        <v>78</v>
      </c>
      <c r="H289" s="6"/>
      <c r="I289" s="55"/>
      <c r="J289" s="56"/>
      <c r="K289" s="56"/>
      <c r="L289" s="56"/>
      <c r="M289" s="56"/>
    </row>
    <row r="290" spans="1:13">
      <c r="A290" s="6"/>
      <c r="B290" s="6"/>
      <c r="C290" s="6" t="s">
        <v>314</v>
      </c>
      <c r="D290" s="5" t="s">
        <v>108</v>
      </c>
      <c r="E290" s="6"/>
      <c r="F290" s="6"/>
      <c r="G290" s="54" t="s">
        <v>78</v>
      </c>
      <c r="H290" s="6"/>
      <c r="I290" s="55"/>
      <c r="J290" s="56"/>
      <c r="K290" s="56"/>
      <c r="L290" s="56"/>
      <c r="M290" s="56"/>
    </row>
    <row r="291" spans="1:13">
      <c r="A291" s="6" t="s">
        <v>21</v>
      </c>
      <c r="B291" s="6"/>
      <c r="C291" s="6" t="s">
        <v>709</v>
      </c>
      <c r="D291" s="5" t="s">
        <v>108</v>
      </c>
      <c r="E291" s="6" t="s">
        <v>11</v>
      </c>
      <c r="F291" s="6" t="s">
        <v>40</v>
      </c>
      <c r="G291" s="54" t="s">
        <v>562</v>
      </c>
      <c r="H291" s="6">
        <v>104</v>
      </c>
      <c r="I291" s="55" t="s">
        <v>20</v>
      </c>
      <c r="J291" s="56" t="s">
        <v>64</v>
      </c>
      <c r="K291" s="56"/>
      <c r="L291" s="56"/>
      <c r="M291" s="56"/>
    </row>
    <row r="292" spans="1:13">
      <c r="A292" s="6" t="s">
        <v>485</v>
      </c>
      <c r="B292" s="6"/>
      <c r="C292" s="6" t="s">
        <v>484</v>
      </c>
      <c r="D292" s="5" t="s">
        <v>52</v>
      </c>
      <c r="E292" s="6" t="s">
        <v>486</v>
      </c>
      <c r="F292" s="6" t="s">
        <v>41</v>
      </c>
      <c r="G292" s="54" t="s">
        <v>562</v>
      </c>
      <c r="H292" s="6">
        <v>101</v>
      </c>
      <c r="I292" s="55" t="s">
        <v>42</v>
      </c>
      <c r="J292" s="56" t="s">
        <v>64</v>
      </c>
      <c r="K292" s="56"/>
      <c r="L292" s="56"/>
      <c r="M292" s="53"/>
    </row>
    <row r="293" spans="1:13">
      <c r="A293" s="18" t="s">
        <v>165</v>
      </c>
      <c r="B293" s="18"/>
      <c r="C293" s="78" t="s">
        <v>167</v>
      </c>
      <c r="D293" s="19" t="s">
        <v>13</v>
      </c>
      <c r="E293" s="18" t="s">
        <v>14</v>
      </c>
      <c r="F293" s="18" t="s">
        <v>40</v>
      </c>
      <c r="G293" s="30" t="s">
        <v>562</v>
      </c>
      <c r="H293" s="18">
        <v>104</v>
      </c>
      <c r="I293" s="28" t="s">
        <v>20</v>
      </c>
      <c r="J293" s="20" t="s">
        <v>166</v>
      </c>
      <c r="K293" s="20"/>
      <c r="L293" s="20"/>
      <c r="M293" s="20"/>
    </row>
    <row r="294" spans="1:13">
      <c r="A294" s="6" t="s">
        <v>622</v>
      </c>
      <c r="B294" s="6"/>
      <c r="C294" s="6"/>
      <c r="D294" s="5" t="s">
        <v>13</v>
      </c>
      <c r="E294" s="6" t="s">
        <v>14</v>
      </c>
      <c r="F294" s="6" t="s">
        <v>40</v>
      </c>
      <c r="G294" s="54" t="s">
        <v>562</v>
      </c>
      <c r="H294" s="6">
        <v>104</v>
      </c>
      <c r="I294" s="55" t="s">
        <v>20</v>
      </c>
      <c r="J294" s="56" t="s">
        <v>64</v>
      </c>
      <c r="K294" s="56"/>
      <c r="L294" s="56"/>
      <c r="M294" s="56"/>
    </row>
    <row r="295" spans="1:13">
      <c r="A295" s="18" t="s">
        <v>133</v>
      </c>
      <c r="B295" s="18"/>
      <c r="C295" s="18" t="s">
        <v>595</v>
      </c>
      <c r="D295" s="19" t="s">
        <v>52</v>
      </c>
      <c r="E295" s="18" t="s">
        <v>14</v>
      </c>
      <c r="F295" s="18" t="s">
        <v>40</v>
      </c>
      <c r="G295" s="30" t="s">
        <v>562</v>
      </c>
      <c r="H295" s="18">
        <v>105</v>
      </c>
      <c r="I295" s="28" t="s">
        <v>92</v>
      </c>
      <c r="J295" s="20" t="s">
        <v>63</v>
      </c>
      <c r="K295" s="20"/>
      <c r="L295" s="20"/>
      <c r="M295" s="20"/>
    </row>
    <row r="296" spans="1:13">
      <c r="A296" s="6"/>
      <c r="B296" s="6"/>
      <c r="C296" s="6" t="s">
        <v>512</v>
      </c>
      <c r="D296" s="5" t="s">
        <v>52</v>
      </c>
      <c r="E296" s="4" t="s">
        <v>374</v>
      </c>
      <c r="F296" s="6" t="s">
        <v>368</v>
      </c>
      <c r="G296" s="54" t="s">
        <v>562</v>
      </c>
      <c r="H296" s="6">
        <v>105</v>
      </c>
      <c r="I296" s="55" t="s">
        <v>92</v>
      </c>
      <c r="J296" s="56" t="s">
        <v>370</v>
      </c>
      <c r="K296" s="57"/>
      <c r="L296" s="56"/>
      <c r="M296" s="53"/>
    </row>
    <row r="297" spans="1:13">
      <c r="A297" s="6" t="s">
        <v>778</v>
      </c>
      <c r="B297" s="6" t="s">
        <v>777</v>
      </c>
      <c r="C297" s="6"/>
      <c r="D297" s="5" t="s">
        <v>52</v>
      </c>
      <c r="E297" s="4" t="s">
        <v>377</v>
      </c>
      <c r="F297" s="6" t="s">
        <v>141</v>
      </c>
      <c r="G297" s="54" t="s">
        <v>78</v>
      </c>
      <c r="H297" s="6">
        <v>105</v>
      </c>
      <c r="I297" s="55" t="s">
        <v>92</v>
      </c>
      <c r="J297" s="56" t="s">
        <v>375</v>
      </c>
      <c r="K297" s="57"/>
      <c r="L297" s="56"/>
      <c r="M297" s="53"/>
    </row>
    <row r="298" spans="1:13">
      <c r="A298" s="4" t="s">
        <v>112</v>
      </c>
      <c r="B298" s="4" t="s">
        <v>779</v>
      </c>
      <c r="C298" s="77" t="s">
        <v>110</v>
      </c>
      <c r="D298" s="29" t="s">
        <v>52</v>
      </c>
      <c r="E298" s="4" t="s">
        <v>14</v>
      </c>
      <c r="F298" s="22" t="s">
        <v>40</v>
      </c>
      <c r="G298" s="54" t="s">
        <v>562</v>
      </c>
      <c r="H298" s="4">
        <v>105</v>
      </c>
      <c r="I298" s="55" t="s">
        <v>20</v>
      </c>
      <c r="J298" s="60" t="s">
        <v>64</v>
      </c>
      <c r="K298" s="4"/>
      <c r="L298" s="4"/>
      <c r="M298" s="4"/>
    </row>
    <row r="299" spans="1:13">
      <c r="A299" s="6"/>
      <c r="B299" s="6"/>
      <c r="C299" s="6" t="s">
        <v>511</v>
      </c>
      <c r="D299" s="5" t="s">
        <v>52</v>
      </c>
      <c r="E299" s="4" t="s">
        <v>374</v>
      </c>
      <c r="F299" s="6" t="s">
        <v>368</v>
      </c>
      <c r="G299" s="54" t="s">
        <v>562</v>
      </c>
      <c r="H299" s="6">
        <v>105</v>
      </c>
      <c r="I299" s="55" t="s">
        <v>92</v>
      </c>
      <c r="J299" s="56" t="s">
        <v>375</v>
      </c>
      <c r="K299" s="57"/>
      <c r="L299" s="56"/>
      <c r="M299" s="53"/>
    </row>
    <row r="300" spans="1:13">
      <c r="A300" s="6" t="s">
        <v>28</v>
      </c>
      <c r="B300" s="6"/>
      <c r="C300" s="6" t="s">
        <v>554</v>
      </c>
      <c r="D300" s="5" t="s">
        <v>13</v>
      </c>
      <c r="E300" s="6" t="s">
        <v>14</v>
      </c>
      <c r="F300" s="6" t="s">
        <v>43</v>
      </c>
      <c r="G300" s="54" t="s">
        <v>78</v>
      </c>
      <c r="H300" s="6">
        <v>106</v>
      </c>
      <c r="I300" s="55" t="s">
        <v>92</v>
      </c>
      <c r="J300" s="56" t="s">
        <v>61</v>
      </c>
      <c r="K300" s="56"/>
      <c r="L300" s="56"/>
      <c r="M300" s="56"/>
    </row>
    <row r="301" spans="1:13">
      <c r="A301" s="18" t="s">
        <v>738</v>
      </c>
      <c r="B301" s="18"/>
      <c r="C301" s="74" t="s">
        <v>601</v>
      </c>
      <c r="D301" s="19" t="s">
        <v>13</v>
      </c>
      <c r="E301" s="18" t="s">
        <v>14</v>
      </c>
      <c r="F301" s="18" t="s">
        <v>40</v>
      </c>
      <c r="G301" s="30" t="s">
        <v>562</v>
      </c>
      <c r="H301" s="18">
        <v>106</v>
      </c>
      <c r="I301" s="28" t="s">
        <v>92</v>
      </c>
      <c r="J301" s="20" t="s">
        <v>61</v>
      </c>
      <c r="K301" s="33"/>
      <c r="L301" s="20"/>
      <c r="M301" s="20"/>
    </row>
    <row r="302" spans="1:13">
      <c r="A302" s="18" t="s">
        <v>728</v>
      </c>
      <c r="B302" s="78" t="s">
        <v>576</v>
      </c>
      <c r="C302" s="18"/>
      <c r="D302" s="19" t="s">
        <v>13</v>
      </c>
      <c r="E302" s="18" t="s">
        <v>23</v>
      </c>
      <c r="F302" s="18" t="s">
        <v>43</v>
      </c>
      <c r="G302" s="30" t="s">
        <v>78</v>
      </c>
      <c r="H302" s="18">
        <v>106</v>
      </c>
      <c r="I302" s="28" t="s">
        <v>92</v>
      </c>
      <c r="J302" s="20" t="s">
        <v>62</v>
      </c>
      <c r="K302" s="20"/>
      <c r="L302" s="20"/>
      <c r="M302" s="20"/>
    </row>
    <row r="303" spans="1:13">
      <c r="A303" s="6" t="s">
        <v>15</v>
      </c>
      <c r="B303" s="6"/>
      <c r="C303" s="6" t="s">
        <v>575</v>
      </c>
      <c r="D303" s="5" t="s">
        <v>13</v>
      </c>
      <c r="E303" s="6" t="s">
        <v>14</v>
      </c>
      <c r="F303" s="6" t="s">
        <v>43</v>
      </c>
      <c r="G303" s="54" t="s">
        <v>78</v>
      </c>
      <c r="H303" s="6">
        <v>106</v>
      </c>
      <c r="I303" s="55" t="s">
        <v>92</v>
      </c>
      <c r="J303" s="56" t="s">
        <v>62</v>
      </c>
      <c r="K303" s="56"/>
      <c r="L303" s="56"/>
      <c r="M303" s="56"/>
    </row>
    <row r="304" spans="1:13">
      <c r="A304" s="6"/>
      <c r="B304" s="6"/>
      <c r="C304" s="6" t="s">
        <v>340</v>
      </c>
      <c r="D304" s="5" t="s">
        <v>52</v>
      </c>
      <c r="E304" s="6" t="s">
        <v>374</v>
      </c>
      <c r="F304" s="6" t="s">
        <v>363</v>
      </c>
      <c r="G304" s="54" t="s">
        <v>359</v>
      </c>
      <c r="H304" s="6">
        <v>106</v>
      </c>
      <c r="I304" s="55" t="s">
        <v>20</v>
      </c>
      <c r="J304" s="56" t="s">
        <v>367</v>
      </c>
      <c r="K304" s="56"/>
      <c r="L304" s="56"/>
      <c r="M304" s="56"/>
    </row>
    <row r="305" spans="1:13">
      <c r="A305" s="6"/>
      <c r="B305" s="6"/>
      <c r="C305" s="6" t="s">
        <v>614</v>
      </c>
      <c r="D305" s="5" t="s">
        <v>52</v>
      </c>
      <c r="E305" s="6" t="s">
        <v>374</v>
      </c>
      <c r="F305" s="6" t="s">
        <v>363</v>
      </c>
      <c r="G305" s="54" t="s">
        <v>359</v>
      </c>
      <c r="H305" s="6">
        <v>106</v>
      </c>
      <c r="I305" s="55" t="s">
        <v>20</v>
      </c>
      <c r="J305" s="56" t="s">
        <v>367</v>
      </c>
      <c r="K305" s="56"/>
      <c r="L305" s="56"/>
      <c r="M305" s="56"/>
    </row>
    <row r="306" spans="1:13">
      <c r="A306" s="18" t="s">
        <v>636</v>
      </c>
      <c r="B306" s="18"/>
      <c r="C306" s="18" t="s">
        <v>634</v>
      </c>
      <c r="D306" s="19" t="s">
        <v>13</v>
      </c>
      <c r="E306" s="18" t="s">
        <v>14</v>
      </c>
      <c r="F306" s="18" t="s">
        <v>40</v>
      </c>
      <c r="G306" s="30" t="s">
        <v>562</v>
      </c>
      <c r="H306" s="18">
        <v>106</v>
      </c>
      <c r="I306" s="28" t="s">
        <v>20</v>
      </c>
      <c r="J306" s="20" t="s">
        <v>62</v>
      </c>
      <c r="K306" s="33"/>
      <c r="L306" s="20"/>
      <c r="M306" s="20"/>
    </row>
    <row r="307" spans="1:13">
      <c r="A307" s="6"/>
      <c r="B307" s="6"/>
      <c r="C307" s="6" t="s">
        <v>336</v>
      </c>
      <c r="D307" s="5" t="s">
        <v>52</v>
      </c>
      <c r="E307" s="6" t="s">
        <v>374</v>
      </c>
      <c r="F307" s="6" t="s">
        <v>368</v>
      </c>
      <c r="G307" s="54" t="s">
        <v>562</v>
      </c>
      <c r="H307" s="6">
        <v>106</v>
      </c>
      <c r="I307" s="55" t="s">
        <v>20</v>
      </c>
      <c r="J307" s="56" t="s">
        <v>367</v>
      </c>
      <c r="K307" s="56"/>
      <c r="L307" s="56"/>
      <c r="M307" s="56"/>
    </row>
    <row r="308" spans="1:13">
      <c r="A308" s="6"/>
      <c r="B308" s="6"/>
      <c r="C308" s="6" t="s">
        <v>337</v>
      </c>
      <c r="D308" s="5" t="s">
        <v>52</v>
      </c>
      <c r="E308" s="6" t="s">
        <v>374</v>
      </c>
      <c r="F308" s="6" t="s">
        <v>368</v>
      </c>
      <c r="G308" s="54" t="s">
        <v>562</v>
      </c>
      <c r="H308" s="6">
        <v>106</v>
      </c>
      <c r="I308" s="55" t="s">
        <v>39</v>
      </c>
      <c r="J308" s="56" t="s">
        <v>367</v>
      </c>
      <c r="K308" s="56"/>
      <c r="L308" s="56"/>
      <c r="M308" s="56"/>
    </row>
    <row r="309" spans="1:13">
      <c r="A309" s="18" t="s">
        <v>16</v>
      </c>
      <c r="B309" s="78" t="s">
        <v>656</v>
      </c>
      <c r="C309" s="18"/>
      <c r="D309" s="19" t="s">
        <v>13</v>
      </c>
      <c r="E309" s="18" t="s">
        <v>14</v>
      </c>
      <c r="F309" s="18" t="s">
        <v>43</v>
      </c>
      <c r="G309" s="30" t="s">
        <v>78</v>
      </c>
      <c r="H309" s="18">
        <v>106</v>
      </c>
      <c r="I309" s="28" t="s">
        <v>92</v>
      </c>
      <c r="J309" s="20" t="s">
        <v>63</v>
      </c>
      <c r="K309" s="20"/>
      <c r="L309" s="20"/>
      <c r="M309" s="20"/>
    </row>
    <row r="310" spans="1:13">
      <c r="A310" s="6"/>
      <c r="B310" s="6"/>
      <c r="C310" s="6" t="s">
        <v>615</v>
      </c>
      <c r="D310" s="5" t="s">
        <v>52</v>
      </c>
      <c r="E310" s="6" t="s">
        <v>374</v>
      </c>
      <c r="F310" s="6" t="s">
        <v>363</v>
      </c>
      <c r="G310" s="54" t="s">
        <v>359</v>
      </c>
      <c r="H310" s="6">
        <v>106</v>
      </c>
      <c r="I310" s="55" t="s">
        <v>20</v>
      </c>
      <c r="J310" s="56" t="s">
        <v>369</v>
      </c>
      <c r="K310" s="56"/>
      <c r="L310" s="56"/>
      <c r="M310" s="56"/>
    </row>
    <row r="311" spans="1:13">
      <c r="A311" s="6" t="e">
        <f>VLOOKUP(C311,[1]MLCC!$N$1941:$P$1948,3,0)</f>
        <v>#N/A</v>
      </c>
      <c r="B311" s="6"/>
      <c r="C311" s="6" t="s">
        <v>780</v>
      </c>
      <c r="D311" s="5" t="s">
        <v>52</v>
      </c>
      <c r="E311" s="4" t="s">
        <v>14</v>
      </c>
      <c r="F311" s="6" t="s">
        <v>75</v>
      </c>
      <c r="G311" s="54" t="str">
        <f>VLOOKUP(F311,材質!A:B,2,0)</f>
        <v xml:space="preserve">-55 to 105℃  </v>
      </c>
      <c r="H311" s="6">
        <v>106</v>
      </c>
      <c r="I311" s="55" t="s">
        <v>92</v>
      </c>
      <c r="J311" s="56" t="s">
        <v>63</v>
      </c>
      <c r="K311" s="57"/>
      <c r="L311" s="56"/>
      <c r="M311" s="53"/>
    </row>
    <row r="312" spans="1:13">
      <c r="A312" s="6"/>
      <c r="B312" s="6"/>
      <c r="C312" s="6" t="s">
        <v>338</v>
      </c>
      <c r="D312" s="5" t="s">
        <v>52</v>
      </c>
      <c r="E312" s="6" t="s">
        <v>374</v>
      </c>
      <c r="F312" s="6" t="s">
        <v>368</v>
      </c>
      <c r="G312" s="54" t="s">
        <v>562</v>
      </c>
      <c r="H312" s="6">
        <v>106</v>
      </c>
      <c r="I312" s="55" t="s">
        <v>20</v>
      </c>
      <c r="J312" s="56" t="s">
        <v>369</v>
      </c>
      <c r="K312" s="56"/>
      <c r="L312" s="56"/>
      <c r="M312" s="56"/>
    </row>
    <row r="313" spans="1:13">
      <c r="A313" s="6"/>
      <c r="B313" s="6"/>
      <c r="C313" s="6" t="s">
        <v>616</v>
      </c>
      <c r="D313" s="5" t="s">
        <v>52</v>
      </c>
      <c r="E313" s="6" t="s">
        <v>374</v>
      </c>
      <c r="F313" s="6" t="s">
        <v>363</v>
      </c>
      <c r="G313" s="54" t="s">
        <v>359</v>
      </c>
      <c r="H313" s="6">
        <v>106</v>
      </c>
      <c r="I313" s="55" t="s">
        <v>39</v>
      </c>
      <c r="J313" s="56" t="s">
        <v>369</v>
      </c>
      <c r="K313" s="56"/>
      <c r="L313" s="56"/>
      <c r="M313" s="56"/>
    </row>
    <row r="314" spans="1:13">
      <c r="A314" s="6"/>
      <c r="B314" s="6"/>
      <c r="C314" s="6" t="s">
        <v>339</v>
      </c>
      <c r="D314" s="5" t="s">
        <v>52</v>
      </c>
      <c r="E314" s="6" t="s">
        <v>374</v>
      </c>
      <c r="F314" s="6" t="s">
        <v>368</v>
      </c>
      <c r="G314" s="54" t="s">
        <v>562</v>
      </c>
      <c r="H314" s="6">
        <v>106</v>
      </c>
      <c r="I314" s="55" t="s">
        <v>39</v>
      </c>
      <c r="J314" s="56" t="s">
        <v>369</v>
      </c>
      <c r="K314" s="56"/>
      <c r="L314" s="56"/>
      <c r="M314" s="56"/>
    </row>
    <row r="315" spans="1:13">
      <c r="A315" s="6"/>
      <c r="B315" s="6"/>
      <c r="C315" s="6" t="s">
        <v>343</v>
      </c>
      <c r="D315" s="5" t="s">
        <v>52</v>
      </c>
      <c r="E315" s="6" t="s">
        <v>374</v>
      </c>
      <c r="F315" s="6" t="s">
        <v>141</v>
      </c>
      <c r="G315" s="54" t="s">
        <v>78</v>
      </c>
      <c r="H315" s="6">
        <v>106</v>
      </c>
      <c r="I315" s="55" t="s">
        <v>39</v>
      </c>
      <c r="J315" s="56" t="s">
        <v>370</v>
      </c>
      <c r="K315" s="56"/>
      <c r="L315" s="56"/>
      <c r="M315" s="56"/>
    </row>
    <row r="316" spans="1:13">
      <c r="A316" s="6"/>
      <c r="B316" s="6"/>
      <c r="C316" s="6" t="s">
        <v>341</v>
      </c>
      <c r="D316" s="5" t="s">
        <v>52</v>
      </c>
      <c r="E316" s="6" t="s">
        <v>374</v>
      </c>
      <c r="F316" s="6" t="s">
        <v>363</v>
      </c>
      <c r="G316" s="54" t="s">
        <v>359</v>
      </c>
      <c r="H316" s="6">
        <v>106</v>
      </c>
      <c r="I316" s="55" t="s">
        <v>39</v>
      </c>
      <c r="J316" s="56" t="s">
        <v>370</v>
      </c>
      <c r="K316" s="56"/>
      <c r="L316" s="56"/>
      <c r="M316" s="56"/>
    </row>
    <row r="317" spans="1:13">
      <c r="A317" s="6"/>
      <c r="B317" s="6"/>
      <c r="C317" s="6" t="s">
        <v>800</v>
      </c>
      <c r="D317" s="5" t="s">
        <v>52</v>
      </c>
      <c r="E317" s="6" t="s">
        <v>374</v>
      </c>
      <c r="F317" s="6" t="s">
        <v>141</v>
      </c>
      <c r="G317" s="54" t="s">
        <v>78</v>
      </c>
      <c r="H317" s="6">
        <v>106</v>
      </c>
      <c r="I317" s="55" t="s">
        <v>20</v>
      </c>
      <c r="J317" s="56" t="s">
        <v>375</v>
      </c>
      <c r="K317" s="56"/>
      <c r="L317" s="56"/>
      <c r="M317" s="56"/>
    </row>
    <row r="318" spans="1:13">
      <c r="A318" s="6"/>
      <c r="B318" s="6"/>
      <c r="C318" s="6" t="s">
        <v>342</v>
      </c>
      <c r="D318" s="5" t="s">
        <v>52</v>
      </c>
      <c r="E318" s="6" t="s">
        <v>374</v>
      </c>
      <c r="F318" s="6" t="s">
        <v>141</v>
      </c>
      <c r="G318" s="54" t="s">
        <v>78</v>
      </c>
      <c r="H318" s="6">
        <v>106</v>
      </c>
      <c r="I318" s="55" t="s">
        <v>39</v>
      </c>
      <c r="J318" s="56" t="s">
        <v>375</v>
      </c>
      <c r="K318" s="56"/>
      <c r="L318" s="56"/>
      <c r="M318" s="56"/>
    </row>
    <row r="319" spans="1:13">
      <c r="A319" s="6" t="s">
        <v>739</v>
      </c>
      <c r="B319" s="6"/>
      <c r="C319" s="6" t="s">
        <v>600</v>
      </c>
      <c r="D319" s="5" t="s">
        <v>13</v>
      </c>
      <c r="E319" s="6" t="s">
        <v>14</v>
      </c>
      <c r="F319" s="6" t="s">
        <v>40</v>
      </c>
      <c r="G319" s="54" t="s">
        <v>562</v>
      </c>
      <c r="H319" s="6">
        <v>106</v>
      </c>
      <c r="I319" s="55" t="s">
        <v>92</v>
      </c>
      <c r="J319" s="56" t="s">
        <v>65</v>
      </c>
      <c r="K319" s="68"/>
      <c r="L319" s="56"/>
      <c r="M319" s="56"/>
    </row>
    <row r="320" spans="1:13">
      <c r="A320" s="6"/>
      <c r="B320" s="6"/>
      <c r="C320" s="6" t="s">
        <v>505</v>
      </c>
      <c r="D320" s="5" t="s">
        <v>52</v>
      </c>
      <c r="E320" s="4" t="s">
        <v>374</v>
      </c>
      <c r="F320" s="6" t="s">
        <v>368</v>
      </c>
      <c r="G320" s="54" t="s">
        <v>562</v>
      </c>
      <c r="H320" s="6">
        <v>106</v>
      </c>
      <c r="I320" s="55" t="s">
        <v>92</v>
      </c>
      <c r="J320" s="56" t="s">
        <v>361</v>
      </c>
      <c r="K320" s="57"/>
      <c r="L320" s="56"/>
      <c r="M320" s="53"/>
    </row>
    <row r="321" spans="1:13">
      <c r="A321" s="6"/>
      <c r="B321" s="6"/>
      <c r="C321" s="6" t="s">
        <v>690</v>
      </c>
      <c r="D321" s="5" t="s">
        <v>52</v>
      </c>
      <c r="E321" s="6" t="s">
        <v>374</v>
      </c>
      <c r="F321" s="6" t="s">
        <v>141</v>
      </c>
      <c r="G321" s="54" t="s">
        <v>78</v>
      </c>
      <c r="H321" s="6">
        <v>107</v>
      </c>
      <c r="I321" s="55" t="s">
        <v>39</v>
      </c>
      <c r="J321" s="56" t="s">
        <v>65</v>
      </c>
      <c r="K321" s="57"/>
      <c r="L321" s="56"/>
      <c r="M321" s="53"/>
    </row>
    <row r="322" spans="1:13">
      <c r="A322" s="6"/>
      <c r="B322" s="6"/>
      <c r="C322" s="6" t="s">
        <v>506</v>
      </c>
      <c r="D322" s="5" t="s">
        <v>52</v>
      </c>
      <c r="E322" s="4" t="s">
        <v>374</v>
      </c>
      <c r="F322" s="6" t="s">
        <v>368</v>
      </c>
      <c r="G322" s="54" t="s">
        <v>562</v>
      </c>
      <c r="H322" s="6">
        <v>225</v>
      </c>
      <c r="I322" s="55" t="s">
        <v>92</v>
      </c>
      <c r="J322" s="56" t="s">
        <v>364</v>
      </c>
      <c r="K322" s="57"/>
      <c r="L322" s="56"/>
      <c r="M322" s="53"/>
    </row>
    <row r="323" spans="1:13">
      <c r="A323" s="18" t="s">
        <v>163</v>
      </c>
      <c r="B323" s="18"/>
      <c r="C323" s="74" t="s">
        <v>164</v>
      </c>
      <c r="D323" s="19" t="s">
        <v>13</v>
      </c>
      <c r="E323" s="18" t="s">
        <v>14</v>
      </c>
      <c r="F323" s="18" t="s">
        <v>40</v>
      </c>
      <c r="G323" s="30" t="s">
        <v>562</v>
      </c>
      <c r="H323" s="18">
        <v>225</v>
      </c>
      <c r="I323" s="28" t="s">
        <v>20</v>
      </c>
      <c r="J323" s="20" t="s">
        <v>62</v>
      </c>
      <c r="K323" s="70">
        <v>1.0999999999999999E-2</v>
      </c>
      <c r="L323" s="20"/>
      <c r="M323" s="20"/>
    </row>
    <row r="324" spans="1:13">
      <c r="A324" s="6"/>
      <c r="B324" s="6"/>
      <c r="C324" s="6" t="s">
        <v>507</v>
      </c>
      <c r="D324" s="5" t="s">
        <v>52</v>
      </c>
      <c r="E324" s="4" t="s">
        <v>374</v>
      </c>
      <c r="F324" s="6" t="s">
        <v>368</v>
      </c>
      <c r="G324" s="54" t="s">
        <v>562</v>
      </c>
      <c r="H324" s="6">
        <v>225</v>
      </c>
      <c r="I324" s="55" t="s">
        <v>92</v>
      </c>
      <c r="J324" s="56" t="s">
        <v>367</v>
      </c>
      <c r="K324" s="57"/>
      <c r="L324" s="56"/>
      <c r="M324" s="53"/>
    </row>
    <row r="325" spans="1:13">
      <c r="A325" s="18" t="s">
        <v>32</v>
      </c>
      <c r="B325" s="18"/>
      <c r="C325" s="74" t="s">
        <v>170</v>
      </c>
      <c r="D325" s="19" t="s">
        <v>13</v>
      </c>
      <c r="E325" s="18" t="s">
        <v>14</v>
      </c>
      <c r="F325" s="18" t="s">
        <v>40</v>
      </c>
      <c r="G325" s="30" t="s">
        <v>562</v>
      </c>
      <c r="H325" s="18">
        <v>225</v>
      </c>
      <c r="I325" s="28" t="s">
        <v>20</v>
      </c>
      <c r="J325" s="20" t="s">
        <v>63</v>
      </c>
      <c r="K325" s="20"/>
      <c r="L325" s="20"/>
      <c r="M325" s="20"/>
    </row>
    <row r="326" spans="1:13">
      <c r="A326" s="6"/>
      <c r="B326" s="6"/>
      <c r="C326" s="6" t="s">
        <v>509</v>
      </c>
      <c r="D326" s="5" t="s">
        <v>52</v>
      </c>
      <c r="E326" s="4" t="s">
        <v>374</v>
      </c>
      <c r="F326" s="6" t="s">
        <v>368</v>
      </c>
      <c r="G326" s="54" t="s">
        <v>562</v>
      </c>
      <c r="H326" s="6">
        <v>225</v>
      </c>
      <c r="I326" s="55" t="s">
        <v>92</v>
      </c>
      <c r="J326" s="56" t="s">
        <v>369</v>
      </c>
      <c r="K326" s="57"/>
      <c r="L326" s="56"/>
      <c r="M326" s="53"/>
    </row>
    <row r="327" spans="1:13">
      <c r="A327" s="6"/>
      <c r="B327" s="6"/>
      <c r="C327" s="6" t="s">
        <v>510</v>
      </c>
      <c r="D327" s="5" t="s">
        <v>52</v>
      </c>
      <c r="E327" s="4" t="s">
        <v>374</v>
      </c>
      <c r="F327" s="6" t="s">
        <v>368</v>
      </c>
      <c r="G327" s="54" t="s">
        <v>562</v>
      </c>
      <c r="H327" s="6">
        <v>225</v>
      </c>
      <c r="I327" s="55" t="s">
        <v>92</v>
      </c>
      <c r="J327" s="56" t="s">
        <v>369</v>
      </c>
      <c r="K327" s="57"/>
      <c r="L327" s="56"/>
      <c r="M327" s="53"/>
    </row>
    <row r="328" spans="1:13">
      <c r="A328" s="18" t="s">
        <v>710</v>
      </c>
      <c r="B328" s="18" t="s">
        <v>380</v>
      </c>
      <c r="C328" s="18" t="s">
        <v>794</v>
      </c>
      <c r="D328" s="19" t="s">
        <v>13</v>
      </c>
      <c r="E328" s="18" t="s">
        <v>23</v>
      </c>
      <c r="F328" s="18" t="s">
        <v>43</v>
      </c>
      <c r="G328" s="30" t="s">
        <v>78</v>
      </c>
      <c r="H328" s="18">
        <v>226</v>
      </c>
      <c r="I328" s="28" t="s">
        <v>44</v>
      </c>
      <c r="J328" s="20" t="s">
        <v>61</v>
      </c>
      <c r="K328" s="20"/>
      <c r="L328" s="20"/>
      <c r="M328" s="20"/>
    </row>
    <row r="329" spans="1:13">
      <c r="A329" s="6" t="s">
        <v>746</v>
      </c>
      <c r="B329" s="6"/>
      <c r="C329" s="6" t="s">
        <v>747</v>
      </c>
      <c r="D329" s="5" t="s">
        <v>13</v>
      </c>
      <c r="E329" s="6" t="s">
        <v>374</v>
      </c>
      <c r="F329" s="6" t="s">
        <v>43</v>
      </c>
      <c r="G329" s="54" t="s">
        <v>78</v>
      </c>
      <c r="H329" s="6">
        <v>226</v>
      </c>
      <c r="I329" s="55" t="s">
        <v>44</v>
      </c>
      <c r="J329" s="56" t="s">
        <v>61</v>
      </c>
      <c r="K329" s="56"/>
      <c r="L329" s="56"/>
      <c r="M329" s="56"/>
    </row>
    <row r="330" spans="1:13">
      <c r="A330" s="6"/>
      <c r="B330" s="6"/>
      <c r="C330" s="6" t="s">
        <v>344</v>
      </c>
      <c r="D330" s="5" t="s">
        <v>52</v>
      </c>
      <c r="E330" s="6" t="s">
        <v>374</v>
      </c>
      <c r="F330" s="6" t="s">
        <v>363</v>
      </c>
      <c r="G330" s="54" t="s">
        <v>359</v>
      </c>
      <c r="H330" s="6">
        <v>226</v>
      </c>
      <c r="I330" s="55" t="s">
        <v>39</v>
      </c>
      <c r="J330" s="56" t="s">
        <v>364</v>
      </c>
      <c r="K330" s="56"/>
      <c r="L330" s="56"/>
      <c r="M330" s="56"/>
    </row>
    <row r="331" spans="1:13">
      <c r="A331" s="6"/>
      <c r="B331" s="6"/>
      <c r="C331" s="6" t="s">
        <v>381</v>
      </c>
      <c r="D331" s="5" t="s">
        <v>52</v>
      </c>
      <c r="E331" s="6" t="s">
        <v>374</v>
      </c>
      <c r="F331" s="6" t="s">
        <v>382</v>
      </c>
      <c r="G331" s="54" t="s">
        <v>562</v>
      </c>
      <c r="H331" s="6">
        <v>226</v>
      </c>
      <c r="I331" s="55" t="s">
        <v>39</v>
      </c>
      <c r="J331" s="56" t="s">
        <v>364</v>
      </c>
      <c r="K331" s="56"/>
      <c r="L331" s="56"/>
      <c r="M331" s="56"/>
    </row>
    <row r="332" spans="1:13">
      <c r="A332" s="6"/>
      <c r="B332" s="6"/>
      <c r="C332" s="6" t="s">
        <v>348</v>
      </c>
      <c r="D332" s="5" t="s">
        <v>52</v>
      </c>
      <c r="E332" s="6" t="s">
        <v>374</v>
      </c>
      <c r="F332" s="6"/>
      <c r="G332" s="54" t="s">
        <v>78</v>
      </c>
      <c r="H332" s="6">
        <v>226</v>
      </c>
      <c r="I332" s="55" t="s">
        <v>39</v>
      </c>
      <c r="J332" s="56" t="s">
        <v>364</v>
      </c>
      <c r="K332" s="56"/>
      <c r="L332" s="56"/>
      <c r="M332" s="56"/>
    </row>
    <row r="333" spans="1:13">
      <c r="A333" s="6"/>
      <c r="B333" s="6"/>
      <c r="C333" s="6" t="s">
        <v>345</v>
      </c>
      <c r="D333" s="5" t="s">
        <v>52</v>
      </c>
      <c r="E333" s="6" t="s">
        <v>374</v>
      </c>
      <c r="F333" s="6" t="s">
        <v>363</v>
      </c>
      <c r="G333" s="54" t="s">
        <v>359</v>
      </c>
      <c r="H333" s="6">
        <v>226</v>
      </c>
      <c r="I333" s="55" t="s">
        <v>39</v>
      </c>
      <c r="J333" s="56" t="s">
        <v>367</v>
      </c>
      <c r="K333" s="56"/>
      <c r="L333" s="56"/>
      <c r="M333" s="56"/>
    </row>
    <row r="334" spans="1:13">
      <c r="A334" s="6"/>
      <c r="B334" s="6"/>
      <c r="C334" s="6" t="s">
        <v>781</v>
      </c>
      <c r="D334" s="5" t="s">
        <v>52</v>
      </c>
      <c r="E334" s="4" t="s">
        <v>14</v>
      </c>
      <c r="F334" s="6" t="s">
        <v>75</v>
      </c>
      <c r="G334" s="54" t="str">
        <f>VLOOKUP(F334,材質!A:B,2,0)</f>
        <v xml:space="preserve">-55 to 105℃  </v>
      </c>
      <c r="H334" s="6">
        <v>226</v>
      </c>
      <c r="I334" s="55" t="s">
        <v>44</v>
      </c>
      <c r="J334" s="56" t="s">
        <v>62</v>
      </c>
      <c r="K334" s="57"/>
      <c r="L334" s="56"/>
      <c r="M334" s="53"/>
    </row>
    <row r="335" spans="1:13">
      <c r="A335" s="6"/>
      <c r="B335" s="6"/>
      <c r="C335" s="6" t="s">
        <v>781</v>
      </c>
      <c r="D335" s="5" t="s">
        <v>52</v>
      </c>
      <c r="E335" s="4" t="s">
        <v>14</v>
      </c>
      <c r="F335" s="6" t="s">
        <v>75</v>
      </c>
      <c r="G335" s="54" t="str">
        <f>VLOOKUP(F335,材質!A:B,2,0)</f>
        <v xml:space="preserve">-55 to 105℃  </v>
      </c>
      <c r="H335" s="6">
        <v>226</v>
      </c>
      <c r="I335" s="55" t="s">
        <v>44</v>
      </c>
      <c r="J335" s="56" t="s">
        <v>62</v>
      </c>
      <c r="K335" s="57"/>
      <c r="L335" s="56"/>
      <c r="M335" s="53"/>
    </row>
    <row r="336" spans="1:13">
      <c r="A336" s="6" t="s">
        <v>827</v>
      </c>
      <c r="B336" s="6" t="s">
        <v>829</v>
      </c>
      <c r="C336" s="6" t="s">
        <v>828</v>
      </c>
      <c r="D336" s="5" t="s">
        <v>13</v>
      </c>
      <c r="E336" s="6" t="s">
        <v>14</v>
      </c>
      <c r="F336" s="6" t="s">
        <v>43</v>
      </c>
      <c r="G336" s="54" t="s">
        <v>78</v>
      </c>
      <c r="H336" s="6">
        <v>226</v>
      </c>
      <c r="I336" s="55" t="s">
        <v>39</v>
      </c>
      <c r="J336" s="56" t="s">
        <v>63</v>
      </c>
      <c r="K336" s="56"/>
      <c r="L336" s="56"/>
      <c r="M336" s="56"/>
    </row>
    <row r="337" spans="1:13">
      <c r="A337" s="6"/>
      <c r="B337" s="6"/>
      <c r="C337" s="6" t="s">
        <v>694</v>
      </c>
      <c r="D337" s="5" t="s">
        <v>13</v>
      </c>
      <c r="E337" s="6" t="s">
        <v>14</v>
      </c>
      <c r="F337" s="6" t="s">
        <v>43</v>
      </c>
      <c r="G337" s="54" t="s">
        <v>78</v>
      </c>
      <c r="H337" s="6">
        <v>226</v>
      </c>
      <c r="I337" s="55" t="s">
        <v>39</v>
      </c>
      <c r="J337" s="56" t="s">
        <v>63</v>
      </c>
      <c r="K337" s="57"/>
      <c r="L337" s="56"/>
      <c r="M337" s="53"/>
    </row>
    <row r="338" spans="1:13">
      <c r="A338" s="6"/>
      <c r="B338" s="6"/>
      <c r="C338" s="6" t="s">
        <v>347</v>
      </c>
      <c r="D338" s="5" t="s">
        <v>52</v>
      </c>
      <c r="E338" s="6" t="s">
        <v>374</v>
      </c>
      <c r="F338" s="6" t="s">
        <v>376</v>
      </c>
      <c r="G338" s="54" t="s">
        <v>562</v>
      </c>
      <c r="H338" s="6">
        <v>226</v>
      </c>
      <c r="I338" s="55" t="s">
        <v>39</v>
      </c>
      <c r="J338" s="56" t="s">
        <v>360</v>
      </c>
      <c r="K338" s="56"/>
      <c r="L338" s="56"/>
      <c r="M338" s="56"/>
    </row>
    <row r="339" spans="1:13">
      <c r="A339" s="6" t="s">
        <v>561</v>
      </c>
      <c r="B339" s="6" t="s">
        <v>753</v>
      </c>
      <c r="C339" s="6" t="s">
        <v>697</v>
      </c>
      <c r="D339" s="5" t="s">
        <v>52</v>
      </c>
      <c r="E339" s="6" t="s">
        <v>374</v>
      </c>
      <c r="F339" s="6" t="s">
        <v>43</v>
      </c>
      <c r="G339" s="54" t="s">
        <v>78</v>
      </c>
      <c r="H339" s="6">
        <v>226</v>
      </c>
      <c r="I339" s="55" t="s">
        <v>44</v>
      </c>
      <c r="J339" s="56" t="s">
        <v>361</v>
      </c>
      <c r="K339" s="63"/>
      <c r="L339" s="56"/>
      <c r="M339" s="56"/>
    </row>
    <row r="340" spans="1:13">
      <c r="A340" s="6"/>
      <c r="B340" s="6"/>
      <c r="C340" s="6" t="s">
        <v>346</v>
      </c>
      <c r="D340" s="5" t="s">
        <v>52</v>
      </c>
      <c r="E340" s="6" t="s">
        <v>374</v>
      </c>
      <c r="F340" s="6" t="s">
        <v>365</v>
      </c>
      <c r="G340" s="54" t="s">
        <v>562</v>
      </c>
      <c r="H340" s="6">
        <v>226</v>
      </c>
      <c r="I340" s="55" t="s">
        <v>39</v>
      </c>
      <c r="J340" s="56" t="s">
        <v>361</v>
      </c>
      <c r="K340" s="56"/>
      <c r="L340" s="56"/>
      <c r="M340" s="56"/>
    </row>
    <row r="341" spans="1:13">
      <c r="A341" s="6"/>
      <c r="B341" s="6"/>
      <c r="C341" s="6" t="s">
        <v>504</v>
      </c>
      <c r="D341" s="5" t="s">
        <v>52</v>
      </c>
      <c r="E341" s="4" t="s">
        <v>374</v>
      </c>
      <c r="F341" s="6" t="s">
        <v>368</v>
      </c>
      <c r="G341" s="54" t="s">
        <v>562</v>
      </c>
      <c r="H341" s="6">
        <v>475</v>
      </c>
      <c r="I341" s="55" t="s">
        <v>92</v>
      </c>
      <c r="J341" s="56" t="s">
        <v>364</v>
      </c>
      <c r="K341" s="57"/>
      <c r="L341" s="56"/>
      <c r="M341" s="53"/>
    </row>
    <row r="342" spans="1:13">
      <c r="A342" s="6"/>
      <c r="B342" s="6"/>
      <c r="C342" s="6" t="s">
        <v>508</v>
      </c>
      <c r="D342" s="5" t="s">
        <v>52</v>
      </c>
      <c r="E342" s="4" t="s">
        <v>374</v>
      </c>
      <c r="F342" s="6" t="s">
        <v>368</v>
      </c>
      <c r="G342" s="54" t="s">
        <v>562</v>
      </c>
      <c r="H342" s="6">
        <v>475</v>
      </c>
      <c r="I342" s="55" t="s">
        <v>92</v>
      </c>
      <c r="J342" s="56" t="s">
        <v>367</v>
      </c>
      <c r="K342" s="57"/>
      <c r="L342" s="56"/>
      <c r="M342" s="53"/>
    </row>
    <row r="343" spans="1:13">
      <c r="A343" s="18" t="s">
        <v>17</v>
      </c>
      <c r="B343" s="21"/>
      <c r="C343" s="18" t="s">
        <v>795</v>
      </c>
      <c r="D343" s="19" t="s">
        <v>13</v>
      </c>
      <c r="E343" s="18" t="s">
        <v>14</v>
      </c>
      <c r="F343" s="18" t="s">
        <v>43</v>
      </c>
      <c r="G343" s="30" t="s">
        <v>78</v>
      </c>
      <c r="H343" s="18">
        <v>475</v>
      </c>
      <c r="I343" s="28" t="s">
        <v>20</v>
      </c>
      <c r="J343" s="20" t="s">
        <v>63</v>
      </c>
      <c r="K343" s="20"/>
      <c r="L343" s="20"/>
      <c r="M343" s="20"/>
    </row>
    <row r="344" spans="1:13">
      <c r="A344" s="6" t="s">
        <v>729</v>
      </c>
      <c r="B344" s="6"/>
      <c r="C344" s="6" t="s">
        <v>699</v>
      </c>
      <c r="D344" s="5" t="s">
        <v>52</v>
      </c>
      <c r="E344" s="4" t="s">
        <v>377</v>
      </c>
      <c r="F344" s="6" t="s">
        <v>141</v>
      </c>
      <c r="G344" s="54" t="s">
        <v>78</v>
      </c>
      <c r="H344" s="6">
        <v>475</v>
      </c>
      <c r="I344" s="55" t="s">
        <v>92</v>
      </c>
      <c r="J344" s="56" t="s">
        <v>369</v>
      </c>
      <c r="K344" s="57"/>
      <c r="L344" s="56"/>
      <c r="M344" s="53"/>
    </row>
    <row r="345" spans="1:13">
      <c r="A345" s="18" t="s">
        <v>597</v>
      </c>
      <c r="B345" s="21" t="s">
        <v>398</v>
      </c>
      <c r="C345" s="78" t="s">
        <v>596</v>
      </c>
      <c r="D345" s="19" t="s">
        <v>13</v>
      </c>
      <c r="E345" s="18" t="s">
        <v>14</v>
      </c>
      <c r="F345" s="18" t="s">
        <v>40</v>
      </c>
      <c r="G345" s="30" t="s">
        <v>562</v>
      </c>
      <c r="H345" s="18">
        <v>475</v>
      </c>
      <c r="I345" s="28" t="s">
        <v>20</v>
      </c>
      <c r="J345" s="20" t="s">
        <v>63</v>
      </c>
      <c r="K345" s="20"/>
      <c r="L345" s="20"/>
      <c r="M345" s="20"/>
    </row>
    <row r="346" spans="1:13">
      <c r="A346" s="6" t="s">
        <v>597</v>
      </c>
      <c r="B346" s="6"/>
      <c r="C346" s="6" t="s">
        <v>701</v>
      </c>
      <c r="D346" s="5" t="s">
        <v>13</v>
      </c>
      <c r="E346" s="6" t="s">
        <v>14</v>
      </c>
      <c r="F346" s="6" t="s">
        <v>40</v>
      </c>
      <c r="G346" s="54" t="s">
        <v>562</v>
      </c>
      <c r="H346" s="6">
        <v>475</v>
      </c>
      <c r="I346" s="55" t="s">
        <v>20</v>
      </c>
      <c r="J346" s="56" t="s">
        <v>63</v>
      </c>
      <c r="K346" s="56"/>
      <c r="L346" s="56"/>
      <c r="M346" s="56"/>
    </row>
    <row r="347" spans="1:13">
      <c r="A347" s="12" t="s">
        <v>116</v>
      </c>
      <c r="B347" s="12"/>
      <c r="C347" s="79" t="s">
        <v>115</v>
      </c>
      <c r="D347" s="13" t="s">
        <v>52</v>
      </c>
      <c r="E347" s="12" t="s">
        <v>14</v>
      </c>
      <c r="F347" s="14" t="s">
        <v>43</v>
      </c>
      <c r="G347" s="30" t="s">
        <v>78</v>
      </c>
      <c r="H347" s="12">
        <v>475</v>
      </c>
      <c r="I347" s="28" t="s">
        <v>92</v>
      </c>
      <c r="J347" s="16" t="s">
        <v>64</v>
      </c>
      <c r="K347" s="12"/>
      <c r="L347" s="12"/>
      <c r="M347" s="12"/>
    </row>
    <row r="348" spans="1:13">
      <c r="A348" s="12"/>
      <c r="B348" s="12" t="s">
        <v>626</v>
      </c>
      <c r="C348" s="12" t="s">
        <v>117</v>
      </c>
      <c r="D348" s="13" t="s">
        <v>52</v>
      </c>
      <c r="E348" s="12" t="s">
        <v>14</v>
      </c>
      <c r="F348" s="14" t="s">
        <v>43</v>
      </c>
      <c r="G348" s="15" t="s">
        <v>78</v>
      </c>
      <c r="H348" s="12">
        <v>476</v>
      </c>
      <c r="I348" s="28" t="s">
        <v>39</v>
      </c>
      <c r="J348" s="16" t="s">
        <v>61</v>
      </c>
      <c r="K348" s="12"/>
      <c r="L348" s="12"/>
      <c r="M348" s="12"/>
    </row>
    <row r="349" spans="1:13">
      <c r="A349" s="6"/>
      <c r="B349" s="6"/>
      <c r="C349" s="6" t="s">
        <v>349</v>
      </c>
      <c r="D349" s="5" t="s">
        <v>52</v>
      </c>
      <c r="E349" s="6" t="s">
        <v>377</v>
      </c>
      <c r="F349" s="6" t="s">
        <v>358</v>
      </c>
      <c r="G349" s="54" t="s">
        <v>359</v>
      </c>
      <c r="H349" s="6">
        <v>476</v>
      </c>
      <c r="I349" s="55" t="s">
        <v>39</v>
      </c>
      <c r="J349" s="56" t="s">
        <v>366</v>
      </c>
      <c r="K349" s="56"/>
      <c r="L349" s="56"/>
      <c r="M349" s="56"/>
    </row>
    <row r="350" spans="1:13">
      <c r="A350" s="6" t="s">
        <v>730</v>
      </c>
      <c r="B350" s="6"/>
      <c r="C350" s="6" t="s">
        <v>350</v>
      </c>
      <c r="D350" s="5" t="s">
        <v>52</v>
      </c>
      <c r="E350" s="6" t="s">
        <v>377</v>
      </c>
      <c r="F350" s="6" t="s">
        <v>141</v>
      </c>
      <c r="G350" s="54" t="s">
        <v>78</v>
      </c>
      <c r="H350" s="6">
        <v>476</v>
      </c>
      <c r="I350" s="55" t="s">
        <v>39</v>
      </c>
      <c r="J350" s="56" t="s">
        <v>360</v>
      </c>
      <c r="K350" s="56"/>
      <c r="L350" s="56"/>
      <c r="M350" s="56"/>
    </row>
    <row r="351" spans="1:13">
      <c r="A351" s="6"/>
      <c r="B351" s="6"/>
      <c r="C351" s="6" t="s">
        <v>354</v>
      </c>
      <c r="D351" s="5" t="s">
        <v>52</v>
      </c>
      <c r="E351" s="6" t="s">
        <v>374</v>
      </c>
      <c r="F351" s="6" t="s">
        <v>141</v>
      </c>
      <c r="G351" s="54" t="s">
        <v>78</v>
      </c>
      <c r="H351" s="6">
        <v>476</v>
      </c>
      <c r="I351" s="55" t="s">
        <v>39</v>
      </c>
      <c r="J351" s="56" t="s">
        <v>360</v>
      </c>
      <c r="K351" s="56"/>
      <c r="L351" s="56"/>
      <c r="M351" s="56"/>
    </row>
    <row r="352" spans="1:13">
      <c r="A352" s="6"/>
      <c r="B352" s="6"/>
      <c r="C352" s="6" t="s">
        <v>352</v>
      </c>
      <c r="D352" s="5" t="s">
        <v>52</v>
      </c>
      <c r="E352" s="6" t="s">
        <v>374</v>
      </c>
      <c r="F352" s="6" t="s">
        <v>363</v>
      </c>
      <c r="G352" s="54" t="s">
        <v>359</v>
      </c>
      <c r="H352" s="6">
        <v>476</v>
      </c>
      <c r="I352" s="55" t="s">
        <v>39</v>
      </c>
      <c r="J352" s="56" t="s">
        <v>360</v>
      </c>
      <c r="K352" s="56"/>
      <c r="L352" s="56"/>
      <c r="M352" s="56"/>
    </row>
    <row r="353" spans="1:13">
      <c r="A353" s="6"/>
      <c r="B353" s="6"/>
      <c r="C353" s="6" t="s">
        <v>353</v>
      </c>
      <c r="D353" s="5" t="s">
        <v>52</v>
      </c>
      <c r="E353" s="6" t="s">
        <v>374</v>
      </c>
      <c r="F353" s="6" t="s">
        <v>358</v>
      </c>
      <c r="G353" s="54" t="s">
        <v>359</v>
      </c>
      <c r="H353" s="6">
        <v>476</v>
      </c>
      <c r="I353" s="55" t="s">
        <v>39</v>
      </c>
      <c r="J353" s="56" t="s">
        <v>360</v>
      </c>
      <c r="K353" s="56"/>
      <c r="L353" s="56"/>
      <c r="M353" s="56"/>
    </row>
    <row r="354" spans="1:13">
      <c r="A354" s="18" t="s">
        <v>731</v>
      </c>
      <c r="B354" s="18" t="s">
        <v>539</v>
      </c>
      <c r="C354" s="18"/>
      <c r="D354" s="19" t="s">
        <v>52</v>
      </c>
      <c r="E354" s="18" t="s">
        <v>23</v>
      </c>
      <c r="F354" s="18" t="s">
        <v>141</v>
      </c>
      <c r="G354" s="30" t="s">
        <v>78</v>
      </c>
      <c r="H354" s="18">
        <v>476</v>
      </c>
      <c r="I354" s="28" t="s">
        <v>44</v>
      </c>
      <c r="J354" s="20" t="s">
        <v>361</v>
      </c>
      <c r="K354" s="27"/>
      <c r="L354" s="20"/>
      <c r="M354" s="20"/>
    </row>
    <row r="355" spans="1:13">
      <c r="A355" s="18" t="s">
        <v>568</v>
      </c>
      <c r="B355" s="18"/>
      <c r="C355" s="18"/>
      <c r="D355" s="19" t="s">
        <v>52</v>
      </c>
      <c r="E355" s="18" t="s">
        <v>14</v>
      </c>
      <c r="F355" s="18" t="s">
        <v>141</v>
      </c>
      <c r="G355" s="30" t="s">
        <v>78</v>
      </c>
      <c r="H355" s="18">
        <v>476</v>
      </c>
      <c r="I355" s="28" t="s">
        <v>44</v>
      </c>
      <c r="J355" s="20" t="s">
        <v>361</v>
      </c>
      <c r="K355" s="27"/>
      <c r="L355" s="20"/>
      <c r="M355" s="20"/>
    </row>
    <row r="356" spans="1:13">
      <c r="A356" s="6"/>
      <c r="B356" s="6"/>
      <c r="C356" s="6" t="s">
        <v>351</v>
      </c>
      <c r="D356" s="5" t="s">
        <v>52</v>
      </c>
      <c r="E356" s="6" t="s">
        <v>377</v>
      </c>
      <c r="F356" s="6" t="s">
        <v>141</v>
      </c>
      <c r="G356" s="54" t="s">
        <v>78</v>
      </c>
      <c r="H356" s="6">
        <v>476</v>
      </c>
      <c r="I356" s="55" t="s">
        <v>39</v>
      </c>
      <c r="J356" s="56" t="s">
        <v>361</v>
      </c>
      <c r="K356" s="56"/>
      <c r="L356" s="56"/>
      <c r="M356" s="56"/>
    </row>
    <row r="357" spans="1:13">
      <c r="A357" s="6"/>
      <c r="B357" s="6"/>
      <c r="C357" s="6" t="s">
        <v>355</v>
      </c>
      <c r="D357" s="5" t="s">
        <v>52</v>
      </c>
      <c r="E357" s="6" t="s">
        <v>374</v>
      </c>
      <c r="F357" s="6" t="s">
        <v>141</v>
      </c>
      <c r="G357" s="54" t="s">
        <v>78</v>
      </c>
      <c r="H357" s="6">
        <v>476</v>
      </c>
      <c r="I357" s="55" t="s">
        <v>39</v>
      </c>
      <c r="J357" s="56" t="s">
        <v>361</v>
      </c>
      <c r="K357" s="56"/>
      <c r="L357" s="56"/>
      <c r="M357" s="56"/>
    </row>
    <row r="358" spans="1:13">
      <c r="A358" s="6"/>
      <c r="B358" s="6"/>
      <c r="C358" s="6" t="s">
        <v>356</v>
      </c>
      <c r="D358" s="5" t="s">
        <v>52</v>
      </c>
      <c r="E358" s="6" t="s">
        <v>374</v>
      </c>
      <c r="F358" s="6" t="s">
        <v>141</v>
      </c>
      <c r="G358" s="54" t="s">
        <v>78</v>
      </c>
      <c r="H358" s="6">
        <v>476</v>
      </c>
      <c r="I358" s="55" t="s">
        <v>39</v>
      </c>
      <c r="J358" s="56" t="s">
        <v>361</v>
      </c>
      <c r="K358" s="56"/>
      <c r="L358" s="56"/>
      <c r="M358" s="56"/>
    </row>
    <row r="359" spans="1:13">
      <c r="A359" s="6"/>
      <c r="B359" s="6"/>
      <c r="C359" s="6" t="s">
        <v>424</v>
      </c>
      <c r="D359" s="29" t="s">
        <v>53</v>
      </c>
      <c r="E359" s="4" t="s">
        <v>415</v>
      </c>
      <c r="F359" s="6" t="s">
        <v>40</v>
      </c>
      <c r="G359" s="54" t="s">
        <v>562</v>
      </c>
      <c r="H359" s="6">
        <v>102</v>
      </c>
      <c r="I359" s="55" t="s">
        <v>92</v>
      </c>
      <c r="J359" s="56" t="s">
        <v>421</v>
      </c>
      <c r="K359" s="57"/>
      <c r="L359" s="56"/>
      <c r="M359" s="53"/>
    </row>
    <row r="360" spans="1:13">
      <c r="A360" s="6"/>
      <c r="B360" s="6"/>
      <c r="C360" s="6" t="s">
        <v>425</v>
      </c>
      <c r="D360" s="29" t="s">
        <v>53</v>
      </c>
      <c r="E360" s="4" t="s">
        <v>14</v>
      </c>
      <c r="F360" s="6" t="s">
        <v>40</v>
      </c>
      <c r="G360" s="54" t="s">
        <v>562</v>
      </c>
      <c r="H360" s="6">
        <v>102</v>
      </c>
      <c r="I360" s="55" t="s">
        <v>92</v>
      </c>
      <c r="J360" s="56" t="s">
        <v>421</v>
      </c>
      <c r="K360" s="57"/>
      <c r="L360" s="56"/>
      <c r="M360" s="53"/>
    </row>
    <row r="361" spans="1:13">
      <c r="A361" s="6"/>
      <c r="B361" s="6"/>
      <c r="C361" s="6" t="s">
        <v>419</v>
      </c>
      <c r="D361" s="29" t="s">
        <v>53</v>
      </c>
      <c r="E361" s="4" t="s">
        <v>415</v>
      </c>
      <c r="F361" s="6" t="s">
        <v>412</v>
      </c>
      <c r="G361" s="54" t="s">
        <v>562</v>
      </c>
      <c r="H361" s="6">
        <v>102</v>
      </c>
      <c r="I361" s="55" t="s">
        <v>42</v>
      </c>
      <c r="J361" s="56" t="s">
        <v>421</v>
      </c>
      <c r="K361" s="57"/>
      <c r="L361" s="56"/>
      <c r="M361" s="53"/>
    </row>
    <row r="362" spans="1:13">
      <c r="A362" s="6"/>
      <c r="B362" s="6"/>
      <c r="C362" s="6" t="s">
        <v>426</v>
      </c>
      <c r="D362" s="29" t="s">
        <v>53</v>
      </c>
      <c r="E362" s="4" t="s">
        <v>14</v>
      </c>
      <c r="F362" s="6" t="s">
        <v>40</v>
      </c>
      <c r="G362" s="54" t="s">
        <v>562</v>
      </c>
      <c r="H362" s="6">
        <v>103</v>
      </c>
      <c r="I362" s="55" t="s">
        <v>92</v>
      </c>
      <c r="J362" s="56" t="s">
        <v>421</v>
      </c>
      <c r="K362" s="57"/>
      <c r="L362" s="56"/>
      <c r="M362" s="53"/>
    </row>
    <row r="363" spans="1:13">
      <c r="A363" s="6"/>
      <c r="B363" s="6"/>
      <c r="C363" s="6" t="s">
        <v>431</v>
      </c>
      <c r="D363" s="29" t="s">
        <v>53</v>
      </c>
      <c r="E363" s="4" t="s">
        <v>18</v>
      </c>
      <c r="F363" s="6" t="s">
        <v>40</v>
      </c>
      <c r="G363" s="54" t="s">
        <v>562</v>
      </c>
      <c r="H363" s="6">
        <v>104</v>
      </c>
      <c r="I363" s="55" t="s">
        <v>92</v>
      </c>
      <c r="J363" s="56" t="s">
        <v>432</v>
      </c>
      <c r="K363" s="57"/>
      <c r="L363" s="56"/>
      <c r="M363" s="53"/>
    </row>
    <row r="364" spans="1:13">
      <c r="A364" s="6"/>
      <c r="B364" s="6"/>
      <c r="C364" s="6" t="s">
        <v>438</v>
      </c>
      <c r="D364" s="29" t="s">
        <v>53</v>
      </c>
      <c r="E364" s="4" t="s">
        <v>434</v>
      </c>
      <c r="F364" s="6" t="s">
        <v>40</v>
      </c>
      <c r="G364" s="54" t="s">
        <v>562</v>
      </c>
      <c r="H364" s="6">
        <v>104</v>
      </c>
      <c r="I364" s="55" t="s">
        <v>92</v>
      </c>
      <c r="J364" s="56" t="s">
        <v>421</v>
      </c>
      <c r="K364" s="57"/>
      <c r="L364" s="56"/>
      <c r="M364" s="53"/>
    </row>
    <row r="365" spans="1:13">
      <c r="A365" s="6"/>
      <c r="B365" s="6"/>
      <c r="C365" s="6" t="s">
        <v>522</v>
      </c>
      <c r="D365" s="29" t="s">
        <v>53</v>
      </c>
      <c r="E365" s="4" t="s">
        <v>537</v>
      </c>
      <c r="F365" s="6" t="s">
        <v>403</v>
      </c>
      <c r="G365" s="54" t="s">
        <v>562</v>
      </c>
      <c r="H365" s="6">
        <v>105</v>
      </c>
      <c r="I365" s="55" t="s">
        <v>92</v>
      </c>
      <c r="J365" s="56" t="s">
        <v>369</v>
      </c>
      <c r="K365" s="57"/>
      <c r="L365" s="56"/>
      <c r="M365" s="53"/>
    </row>
    <row r="366" spans="1:13">
      <c r="A366" s="6"/>
      <c r="B366" s="6"/>
      <c r="C366" s="6" t="s">
        <v>523</v>
      </c>
      <c r="D366" s="29" t="s">
        <v>53</v>
      </c>
      <c r="E366" s="4" t="s">
        <v>537</v>
      </c>
      <c r="F366" s="6" t="s">
        <v>403</v>
      </c>
      <c r="G366" s="54" t="s">
        <v>562</v>
      </c>
      <c r="H366" s="6">
        <v>105</v>
      </c>
      <c r="I366" s="55" t="s">
        <v>92</v>
      </c>
      <c r="J366" s="56" t="s">
        <v>369</v>
      </c>
      <c r="K366" s="57"/>
      <c r="L366" s="56"/>
      <c r="M366" s="53"/>
    </row>
    <row r="367" spans="1:13">
      <c r="A367" s="6"/>
      <c r="B367" s="6"/>
      <c r="C367" s="6" t="s">
        <v>525</v>
      </c>
      <c r="D367" s="29" t="s">
        <v>53</v>
      </c>
      <c r="E367" s="4" t="s">
        <v>537</v>
      </c>
      <c r="F367" s="6" t="s">
        <v>403</v>
      </c>
      <c r="G367" s="54" t="s">
        <v>562</v>
      </c>
      <c r="H367" s="6">
        <v>105</v>
      </c>
      <c r="I367" s="55" t="s">
        <v>92</v>
      </c>
      <c r="J367" s="56" t="s">
        <v>375</v>
      </c>
      <c r="K367" s="57"/>
      <c r="L367" s="56"/>
      <c r="M367" s="53"/>
    </row>
    <row r="368" spans="1:13">
      <c r="A368" s="6"/>
      <c r="B368" s="6"/>
      <c r="C368" s="6" t="s">
        <v>526</v>
      </c>
      <c r="D368" s="29" t="s">
        <v>53</v>
      </c>
      <c r="E368" s="4" t="s">
        <v>537</v>
      </c>
      <c r="F368" s="6" t="s">
        <v>403</v>
      </c>
      <c r="G368" s="54" t="s">
        <v>562</v>
      </c>
      <c r="H368" s="6">
        <v>105</v>
      </c>
      <c r="I368" s="55" t="s">
        <v>92</v>
      </c>
      <c r="J368" s="56" t="s">
        <v>375</v>
      </c>
      <c r="K368" s="57"/>
      <c r="L368" s="56"/>
      <c r="M368" s="53"/>
    </row>
    <row r="369" spans="1:13">
      <c r="A369" s="6"/>
      <c r="B369" s="6"/>
      <c r="C369" s="6" t="s">
        <v>516</v>
      </c>
      <c r="D369" s="29" t="s">
        <v>53</v>
      </c>
      <c r="E369" s="4" t="s">
        <v>402</v>
      </c>
      <c r="F369" s="6" t="s">
        <v>403</v>
      </c>
      <c r="G369" s="54" t="s">
        <v>562</v>
      </c>
      <c r="H369" s="6">
        <v>106</v>
      </c>
      <c r="I369" s="55" t="s">
        <v>92</v>
      </c>
      <c r="J369" s="56" t="s">
        <v>364</v>
      </c>
      <c r="K369" s="57"/>
      <c r="L369" s="56"/>
      <c r="M369" s="53"/>
    </row>
    <row r="370" spans="1:13">
      <c r="A370" s="6"/>
      <c r="B370" s="6"/>
      <c r="C370" s="6" t="s">
        <v>638</v>
      </c>
      <c r="D370" s="29" t="s">
        <v>53</v>
      </c>
      <c r="E370" s="4" t="s">
        <v>402</v>
      </c>
      <c r="F370" s="6" t="s">
        <v>403</v>
      </c>
      <c r="G370" s="54" t="s">
        <v>562</v>
      </c>
      <c r="H370" s="6">
        <v>106</v>
      </c>
      <c r="I370" s="55" t="s">
        <v>92</v>
      </c>
      <c r="J370" s="56" t="s">
        <v>367</v>
      </c>
      <c r="K370" s="57"/>
      <c r="L370" s="56"/>
      <c r="M370" s="53"/>
    </row>
    <row r="371" spans="1:13">
      <c r="A371" s="6" t="s">
        <v>407</v>
      </c>
      <c r="B371" s="6"/>
      <c r="C371" s="6" t="s">
        <v>689</v>
      </c>
      <c r="D371" s="5" t="s">
        <v>53</v>
      </c>
      <c r="E371" s="6" t="s">
        <v>402</v>
      </c>
      <c r="F371" s="6" t="s">
        <v>403</v>
      </c>
      <c r="G371" s="54" t="s">
        <v>562</v>
      </c>
      <c r="H371" s="6">
        <v>106</v>
      </c>
      <c r="I371" s="55" t="s">
        <v>92</v>
      </c>
      <c r="J371" s="56" t="s">
        <v>367</v>
      </c>
      <c r="K371" s="56"/>
      <c r="L371" s="56"/>
      <c r="M371" s="56"/>
    </row>
    <row r="372" spans="1:13">
      <c r="A372" s="6"/>
      <c r="B372" s="6"/>
      <c r="C372" s="6" t="s">
        <v>517</v>
      </c>
      <c r="D372" s="29" t="s">
        <v>53</v>
      </c>
      <c r="E372" s="4" t="s">
        <v>402</v>
      </c>
      <c r="F372" s="6" t="s">
        <v>403</v>
      </c>
      <c r="G372" s="54" t="s">
        <v>562</v>
      </c>
      <c r="H372" s="6">
        <v>106</v>
      </c>
      <c r="I372" s="55" t="s">
        <v>44</v>
      </c>
      <c r="J372" s="56" t="s">
        <v>367</v>
      </c>
      <c r="K372" s="57"/>
      <c r="L372" s="56"/>
      <c r="M372" s="53"/>
    </row>
    <row r="373" spans="1:13">
      <c r="A373" s="6" t="s">
        <v>25</v>
      </c>
      <c r="B373" s="6"/>
      <c r="C373" s="6" t="s">
        <v>698</v>
      </c>
      <c r="D373" s="5" t="s">
        <v>53</v>
      </c>
      <c r="E373" s="6" t="s">
        <v>18</v>
      </c>
      <c r="F373" s="6" t="s">
        <v>43</v>
      </c>
      <c r="G373" s="54" t="s">
        <v>78</v>
      </c>
      <c r="H373" s="6">
        <v>106</v>
      </c>
      <c r="I373" s="55" t="s">
        <v>20</v>
      </c>
      <c r="J373" s="56" t="s">
        <v>63</v>
      </c>
      <c r="K373" s="56"/>
      <c r="L373" s="56"/>
      <c r="M373" s="56"/>
    </row>
    <row r="374" spans="1:13">
      <c r="A374" s="12" t="s">
        <v>119</v>
      </c>
      <c r="B374" s="12"/>
      <c r="C374" s="12" t="s">
        <v>591</v>
      </c>
      <c r="D374" s="13" t="s">
        <v>53</v>
      </c>
      <c r="E374" s="12" t="s">
        <v>18</v>
      </c>
      <c r="F374" s="14" t="s">
        <v>40</v>
      </c>
      <c r="G374" s="15" t="s">
        <v>562</v>
      </c>
      <c r="H374" s="12">
        <v>106</v>
      </c>
      <c r="I374" s="28" t="s">
        <v>92</v>
      </c>
      <c r="J374" s="16" t="s">
        <v>63</v>
      </c>
      <c r="K374" s="12"/>
      <c r="L374" s="12"/>
      <c r="M374" s="12"/>
    </row>
    <row r="375" spans="1:13">
      <c r="A375" s="6"/>
      <c r="B375" s="6"/>
      <c r="C375" s="6" t="s">
        <v>513</v>
      </c>
      <c r="D375" s="29" t="s">
        <v>53</v>
      </c>
      <c r="E375" s="4" t="s">
        <v>402</v>
      </c>
      <c r="F375" s="6" t="s">
        <v>368</v>
      </c>
      <c r="G375" s="54" t="s">
        <v>562</v>
      </c>
      <c r="H375" s="6">
        <v>106</v>
      </c>
      <c r="I375" s="55" t="s">
        <v>92</v>
      </c>
      <c r="J375" s="56" t="s">
        <v>369</v>
      </c>
      <c r="K375" s="57"/>
      <c r="L375" s="56"/>
      <c r="M375" s="53"/>
    </row>
    <row r="376" spans="1:13">
      <c r="A376" s="6"/>
      <c r="B376" s="6" t="s">
        <v>665</v>
      </c>
      <c r="C376" s="6"/>
      <c r="D376" s="5" t="s">
        <v>53</v>
      </c>
      <c r="E376" s="4" t="s">
        <v>18</v>
      </c>
      <c r="F376" s="6" t="s">
        <v>141</v>
      </c>
      <c r="G376" s="54" t="s">
        <v>78</v>
      </c>
      <c r="H376" s="6">
        <v>106</v>
      </c>
      <c r="I376" s="55" t="s">
        <v>92</v>
      </c>
      <c r="J376" s="56" t="s">
        <v>134</v>
      </c>
      <c r="K376" s="58"/>
      <c r="L376" s="56"/>
      <c r="M376" s="53"/>
    </row>
    <row r="377" spans="1:13">
      <c r="A377" s="6" t="s">
        <v>796</v>
      </c>
      <c r="B377" s="6"/>
      <c r="C377" s="6" t="s">
        <v>799</v>
      </c>
      <c r="D377" s="5" t="s">
        <v>53</v>
      </c>
      <c r="E377" s="4" t="s">
        <v>402</v>
      </c>
      <c r="F377" s="6" t="s">
        <v>141</v>
      </c>
      <c r="G377" s="54" t="s">
        <v>78</v>
      </c>
      <c r="H377" s="6">
        <v>106</v>
      </c>
      <c r="I377" s="55" t="s">
        <v>92</v>
      </c>
      <c r="J377" s="56" t="s">
        <v>375</v>
      </c>
      <c r="K377" s="57"/>
      <c r="L377" s="56"/>
      <c r="M377" s="53"/>
    </row>
    <row r="378" spans="1:13">
      <c r="A378" s="6" t="s">
        <v>703</v>
      </c>
      <c r="B378" s="6"/>
      <c r="C378" s="6" t="s">
        <v>702</v>
      </c>
      <c r="D378" s="5" t="s">
        <v>53</v>
      </c>
      <c r="E378" s="4" t="s">
        <v>402</v>
      </c>
      <c r="F378" s="6" t="s">
        <v>141</v>
      </c>
      <c r="G378" s="54" t="s">
        <v>78</v>
      </c>
      <c r="H378" s="6">
        <v>107</v>
      </c>
      <c r="I378" s="55" t="s">
        <v>44</v>
      </c>
      <c r="J378" s="56" t="s">
        <v>65</v>
      </c>
      <c r="K378" s="57"/>
      <c r="L378" s="56"/>
      <c r="M378" s="53"/>
    </row>
    <row r="379" spans="1:13">
      <c r="A379" s="6"/>
      <c r="B379" s="6"/>
      <c r="C379" s="6" t="s">
        <v>428</v>
      </c>
      <c r="D379" s="29" t="s">
        <v>53</v>
      </c>
      <c r="E379" s="4" t="s">
        <v>14</v>
      </c>
      <c r="F379" s="6" t="s">
        <v>40</v>
      </c>
      <c r="G379" s="54" t="s">
        <v>562</v>
      </c>
      <c r="H379" s="6">
        <v>152</v>
      </c>
      <c r="I379" s="55" t="s">
        <v>92</v>
      </c>
      <c r="J379" s="56" t="s">
        <v>418</v>
      </c>
      <c r="K379" s="57"/>
      <c r="L379" s="56"/>
      <c r="M379" s="53"/>
    </row>
    <row r="380" spans="1:13">
      <c r="A380" s="6"/>
      <c r="B380" s="6"/>
      <c r="C380" s="6" t="s">
        <v>417</v>
      </c>
      <c r="D380" s="29" t="s">
        <v>53</v>
      </c>
      <c r="E380" s="4" t="s">
        <v>415</v>
      </c>
      <c r="F380" s="6" t="s">
        <v>41</v>
      </c>
      <c r="G380" s="54" t="s">
        <v>562</v>
      </c>
      <c r="H380" s="6">
        <v>221</v>
      </c>
      <c r="I380" s="55" t="s">
        <v>42</v>
      </c>
      <c r="J380" s="56" t="s">
        <v>418</v>
      </c>
      <c r="K380" s="57"/>
      <c r="L380" s="56"/>
      <c r="M380" s="53"/>
    </row>
    <row r="381" spans="1:13">
      <c r="A381" s="6"/>
      <c r="B381" s="6"/>
      <c r="C381" s="6" t="s">
        <v>414</v>
      </c>
      <c r="D381" s="29" t="s">
        <v>53</v>
      </c>
      <c r="E381" s="4" t="s">
        <v>415</v>
      </c>
      <c r="F381" s="6" t="s">
        <v>41</v>
      </c>
      <c r="G381" s="54" t="s">
        <v>562</v>
      </c>
      <c r="H381" s="6">
        <v>221</v>
      </c>
      <c r="I381" s="55" t="s">
        <v>42</v>
      </c>
      <c r="J381" s="56" t="s">
        <v>416</v>
      </c>
      <c r="K381" s="57"/>
      <c r="L381" s="56"/>
      <c r="M381" s="53"/>
    </row>
    <row r="382" spans="1:13">
      <c r="A382" s="6"/>
      <c r="B382" s="6"/>
      <c r="C382" s="6" t="s">
        <v>422</v>
      </c>
      <c r="D382" s="29" t="s">
        <v>53</v>
      </c>
      <c r="E382" s="4" t="s">
        <v>415</v>
      </c>
      <c r="F382" s="6" t="s">
        <v>412</v>
      </c>
      <c r="G382" s="54" t="s">
        <v>562</v>
      </c>
      <c r="H382" s="6">
        <v>221</v>
      </c>
      <c r="I382" s="55" t="s">
        <v>42</v>
      </c>
      <c r="J382" s="56" t="s">
        <v>421</v>
      </c>
      <c r="K382" s="57"/>
      <c r="L382" s="56"/>
      <c r="M382" s="53"/>
    </row>
    <row r="383" spans="1:13">
      <c r="A383" s="6"/>
      <c r="B383" s="6"/>
      <c r="C383" s="6" t="s">
        <v>427</v>
      </c>
      <c r="D383" s="29" t="s">
        <v>53</v>
      </c>
      <c r="E383" s="4" t="s">
        <v>14</v>
      </c>
      <c r="F383" s="6" t="s">
        <v>40</v>
      </c>
      <c r="G383" s="54" t="s">
        <v>562</v>
      </c>
      <c r="H383" s="6">
        <v>222</v>
      </c>
      <c r="I383" s="55" t="s">
        <v>92</v>
      </c>
      <c r="J383" s="56" t="s">
        <v>421</v>
      </c>
      <c r="K383" s="57"/>
      <c r="L383" s="56"/>
      <c r="M383" s="53"/>
    </row>
    <row r="384" spans="1:13">
      <c r="A384" s="6"/>
      <c r="B384" s="6"/>
      <c r="C384" s="6" t="s">
        <v>524</v>
      </c>
      <c r="D384" s="29" t="s">
        <v>53</v>
      </c>
      <c r="E384" s="4" t="s">
        <v>537</v>
      </c>
      <c r="F384" s="6" t="s">
        <v>403</v>
      </c>
      <c r="G384" s="54" t="s">
        <v>562</v>
      </c>
      <c r="H384" s="6">
        <v>225</v>
      </c>
      <c r="I384" s="55" t="s">
        <v>92</v>
      </c>
      <c r="J384" s="56" t="s">
        <v>369</v>
      </c>
      <c r="K384" s="57"/>
      <c r="L384" s="56"/>
      <c r="M384" s="53"/>
    </row>
    <row r="385" spans="1:13">
      <c r="A385" s="18" t="s">
        <v>183</v>
      </c>
      <c r="B385" s="18"/>
      <c r="C385" s="74" t="s">
        <v>182</v>
      </c>
      <c r="D385" s="19" t="s">
        <v>53</v>
      </c>
      <c r="E385" s="18" t="s">
        <v>18</v>
      </c>
      <c r="F385" s="18" t="s">
        <v>40</v>
      </c>
      <c r="G385" s="30" t="s">
        <v>562</v>
      </c>
      <c r="H385" s="18">
        <v>225</v>
      </c>
      <c r="I385" s="28" t="s">
        <v>20</v>
      </c>
      <c r="J385" s="20" t="s">
        <v>64</v>
      </c>
      <c r="K385" s="20"/>
      <c r="L385" s="20"/>
      <c r="M385" s="20"/>
    </row>
    <row r="386" spans="1:13">
      <c r="A386" s="6"/>
      <c r="B386" s="6"/>
      <c r="C386" s="6" t="s">
        <v>520</v>
      </c>
      <c r="D386" s="29" t="s">
        <v>53</v>
      </c>
      <c r="E386" s="4" t="s">
        <v>402</v>
      </c>
      <c r="F386" s="6" t="s">
        <v>403</v>
      </c>
      <c r="G386" s="54" t="s">
        <v>562</v>
      </c>
      <c r="H386" s="6">
        <v>225</v>
      </c>
      <c r="I386" s="55" t="s">
        <v>92</v>
      </c>
      <c r="J386" s="56" t="s">
        <v>375</v>
      </c>
      <c r="K386" s="57"/>
      <c r="L386" s="56"/>
      <c r="M386" s="53"/>
    </row>
    <row r="387" spans="1:13">
      <c r="A387" s="6"/>
      <c r="B387" s="6"/>
      <c r="C387" s="6" t="s">
        <v>521</v>
      </c>
      <c r="D387" s="29" t="s">
        <v>53</v>
      </c>
      <c r="E387" s="4" t="s">
        <v>402</v>
      </c>
      <c r="F387" s="6" t="s">
        <v>403</v>
      </c>
      <c r="G387" s="54" t="s">
        <v>562</v>
      </c>
      <c r="H387" s="6">
        <v>225</v>
      </c>
      <c r="I387" s="55" t="s">
        <v>92</v>
      </c>
      <c r="J387" s="56" t="s">
        <v>375</v>
      </c>
      <c r="K387" s="57"/>
      <c r="L387" s="56"/>
      <c r="M387" s="53"/>
    </row>
    <row r="388" spans="1:13">
      <c r="A388" s="6"/>
      <c r="B388" s="6"/>
      <c r="C388" s="6" t="s">
        <v>494</v>
      </c>
      <c r="D388" s="29" t="s">
        <v>53</v>
      </c>
      <c r="E388" s="4" t="s">
        <v>402</v>
      </c>
      <c r="F388" s="6" t="s">
        <v>368</v>
      </c>
      <c r="G388" s="54" t="s">
        <v>562</v>
      </c>
      <c r="H388" s="6">
        <v>225</v>
      </c>
      <c r="I388" s="55" t="s">
        <v>92</v>
      </c>
      <c r="J388" s="56" t="s">
        <v>375</v>
      </c>
      <c r="K388" s="57"/>
      <c r="L388" s="56"/>
      <c r="M388" s="53"/>
    </row>
    <row r="389" spans="1:13">
      <c r="A389" s="12" t="s">
        <v>125</v>
      </c>
      <c r="B389" s="12"/>
      <c r="C389" s="12" t="s">
        <v>122</v>
      </c>
      <c r="D389" s="13" t="s">
        <v>53</v>
      </c>
      <c r="E389" s="12" t="s">
        <v>18</v>
      </c>
      <c r="F389" s="14" t="s">
        <v>40</v>
      </c>
      <c r="G389" s="15" t="s">
        <v>562</v>
      </c>
      <c r="H389" s="12">
        <v>226</v>
      </c>
      <c r="I389" s="28" t="s">
        <v>92</v>
      </c>
      <c r="J389" s="16" t="s">
        <v>61</v>
      </c>
      <c r="K389" s="12"/>
      <c r="L389" s="12"/>
      <c r="M389" s="12"/>
    </row>
    <row r="390" spans="1:13">
      <c r="A390" s="6" t="s">
        <v>732</v>
      </c>
      <c r="B390" s="6" t="s">
        <v>686</v>
      </c>
      <c r="C390" s="6"/>
      <c r="D390" s="5" t="s">
        <v>53</v>
      </c>
      <c r="E390" s="4" t="s">
        <v>402</v>
      </c>
      <c r="F390" s="6" t="s">
        <v>141</v>
      </c>
      <c r="G390" s="54" t="s">
        <v>78</v>
      </c>
      <c r="H390" s="6">
        <v>226</v>
      </c>
      <c r="I390" s="55" t="s">
        <v>44</v>
      </c>
      <c r="J390" s="56" t="s">
        <v>364</v>
      </c>
      <c r="K390" s="57"/>
      <c r="L390" s="56"/>
      <c r="M390" s="53"/>
    </row>
    <row r="391" spans="1:13">
      <c r="A391" s="18" t="s">
        <v>45</v>
      </c>
      <c r="B391" s="18"/>
      <c r="C391" s="21" t="s">
        <v>625</v>
      </c>
      <c r="D391" s="19" t="s">
        <v>53</v>
      </c>
      <c r="E391" s="18" t="s">
        <v>402</v>
      </c>
      <c r="F391" s="18" t="s">
        <v>43</v>
      </c>
      <c r="G391" s="30" t="s">
        <v>78</v>
      </c>
      <c r="H391" s="18">
        <v>226</v>
      </c>
      <c r="I391" s="28" t="s">
        <v>20</v>
      </c>
      <c r="J391" s="20" t="s">
        <v>63</v>
      </c>
      <c r="K391" s="20"/>
      <c r="L391" s="20"/>
      <c r="M391" s="20"/>
    </row>
    <row r="392" spans="1:13">
      <c r="A392" s="6"/>
      <c r="B392" s="6"/>
      <c r="C392" s="6" t="s">
        <v>514</v>
      </c>
      <c r="D392" s="29" t="s">
        <v>53</v>
      </c>
      <c r="E392" s="4" t="s">
        <v>402</v>
      </c>
      <c r="F392" s="6" t="s">
        <v>403</v>
      </c>
      <c r="G392" s="54" t="s">
        <v>562</v>
      </c>
      <c r="H392" s="6">
        <v>226</v>
      </c>
      <c r="I392" s="55" t="s">
        <v>92</v>
      </c>
      <c r="J392" s="56" t="s">
        <v>361</v>
      </c>
      <c r="K392" s="57"/>
      <c r="L392" s="56"/>
      <c r="M392" s="53"/>
    </row>
    <row r="393" spans="1:13">
      <c r="A393" s="6"/>
      <c r="B393" s="6"/>
      <c r="C393" s="6" t="s">
        <v>515</v>
      </c>
      <c r="D393" s="29" t="s">
        <v>53</v>
      </c>
      <c r="E393" s="4" t="s">
        <v>402</v>
      </c>
      <c r="F393" s="6" t="s">
        <v>403</v>
      </c>
      <c r="G393" s="54" t="s">
        <v>562</v>
      </c>
      <c r="H393" s="6">
        <v>226</v>
      </c>
      <c r="I393" s="55" t="s">
        <v>44</v>
      </c>
      <c r="J393" s="56" t="s">
        <v>361</v>
      </c>
      <c r="K393" s="57"/>
      <c r="L393" s="56"/>
      <c r="M393" s="53"/>
    </row>
    <row r="394" spans="1:13">
      <c r="A394" s="6"/>
      <c r="B394" s="6"/>
      <c r="C394" s="6" t="s">
        <v>429</v>
      </c>
      <c r="D394" s="29" t="s">
        <v>53</v>
      </c>
      <c r="E394" s="4" t="s">
        <v>14</v>
      </c>
      <c r="F394" s="6" t="s">
        <v>40</v>
      </c>
      <c r="G394" s="54" t="s">
        <v>562</v>
      </c>
      <c r="H394" s="6">
        <v>471</v>
      </c>
      <c r="I394" s="55" t="s">
        <v>92</v>
      </c>
      <c r="J394" s="56" t="s">
        <v>418</v>
      </c>
      <c r="K394" s="57"/>
      <c r="L394" s="56"/>
      <c r="M394" s="53"/>
    </row>
    <row r="395" spans="1:13">
      <c r="A395" s="6"/>
      <c r="B395" s="6"/>
      <c r="C395" s="6" t="s">
        <v>430</v>
      </c>
      <c r="D395" s="29" t="s">
        <v>53</v>
      </c>
      <c r="E395" s="4" t="s">
        <v>14</v>
      </c>
      <c r="F395" s="6" t="s">
        <v>40</v>
      </c>
      <c r="G395" s="54" t="s">
        <v>562</v>
      </c>
      <c r="H395" s="6">
        <v>472</v>
      </c>
      <c r="I395" s="55" t="s">
        <v>92</v>
      </c>
      <c r="J395" s="56" t="s">
        <v>418</v>
      </c>
      <c r="K395" s="57"/>
      <c r="L395" s="56"/>
      <c r="M395" s="53"/>
    </row>
    <row r="396" spans="1:13">
      <c r="A396" s="6"/>
      <c r="B396" s="6"/>
      <c r="C396" s="6" t="s">
        <v>518</v>
      </c>
      <c r="D396" s="29" t="s">
        <v>53</v>
      </c>
      <c r="E396" s="4" t="s">
        <v>402</v>
      </c>
      <c r="F396" s="6" t="s">
        <v>403</v>
      </c>
      <c r="G396" s="54" t="s">
        <v>562</v>
      </c>
      <c r="H396" s="6">
        <v>475</v>
      </c>
      <c r="I396" s="55" t="s">
        <v>92</v>
      </c>
      <c r="J396" s="56" t="s">
        <v>367</v>
      </c>
      <c r="K396" s="57"/>
      <c r="L396" s="56"/>
      <c r="M396" s="53"/>
    </row>
    <row r="397" spans="1:13">
      <c r="A397" s="6"/>
      <c r="B397" s="6"/>
      <c r="C397" s="6" t="s">
        <v>493</v>
      </c>
      <c r="D397" s="29" t="s">
        <v>53</v>
      </c>
      <c r="E397" s="4" t="s">
        <v>402</v>
      </c>
      <c r="F397" s="6" t="s">
        <v>368</v>
      </c>
      <c r="G397" s="54" t="s">
        <v>562</v>
      </c>
      <c r="H397" s="6">
        <v>475</v>
      </c>
      <c r="I397" s="55" t="s">
        <v>44</v>
      </c>
      <c r="J397" s="56" t="s">
        <v>367</v>
      </c>
      <c r="K397" s="57"/>
      <c r="L397" s="56"/>
      <c r="M397" s="53"/>
    </row>
    <row r="398" spans="1:13">
      <c r="A398" s="6"/>
      <c r="B398" s="6"/>
      <c r="C398" s="6" t="s">
        <v>519</v>
      </c>
      <c r="D398" s="29" t="s">
        <v>53</v>
      </c>
      <c r="E398" s="4" t="s">
        <v>402</v>
      </c>
      <c r="F398" s="6" t="s">
        <v>403</v>
      </c>
      <c r="G398" s="54" t="s">
        <v>562</v>
      </c>
      <c r="H398" s="6">
        <v>475</v>
      </c>
      <c r="I398" s="55" t="s">
        <v>92</v>
      </c>
      <c r="J398" s="56" t="s">
        <v>369</v>
      </c>
      <c r="K398" s="57"/>
      <c r="L398" s="56"/>
      <c r="M398" s="53"/>
    </row>
    <row r="399" spans="1:13">
      <c r="A399" s="12" t="s">
        <v>121</v>
      </c>
      <c r="B399" s="12"/>
      <c r="C399" s="12" t="s">
        <v>120</v>
      </c>
      <c r="D399" s="13" t="s">
        <v>53</v>
      </c>
      <c r="E399" s="12" t="s">
        <v>18</v>
      </c>
      <c r="F399" s="14" t="s">
        <v>40</v>
      </c>
      <c r="G399" s="15" t="s">
        <v>562</v>
      </c>
      <c r="H399" s="12">
        <v>475</v>
      </c>
      <c r="I399" s="28" t="s">
        <v>92</v>
      </c>
      <c r="J399" s="16" t="s">
        <v>64</v>
      </c>
      <c r="K399" s="12"/>
      <c r="L399" s="12"/>
      <c r="M399" s="12"/>
    </row>
    <row r="400" spans="1:13">
      <c r="A400" s="18"/>
      <c r="B400" s="18"/>
      <c r="C400" s="21" t="s">
        <v>396</v>
      </c>
      <c r="D400" s="19" t="s">
        <v>53</v>
      </c>
      <c r="E400" s="18" t="s">
        <v>18</v>
      </c>
      <c r="F400" s="18" t="s">
        <v>98</v>
      </c>
      <c r="G400" s="30" t="s">
        <v>562</v>
      </c>
      <c r="H400" s="18">
        <v>475</v>
      </c>
      <c r="I400" s="28" t="s">
        <v>20</v>
      </c>
      <c r="J400" s="20" t="s">
        <v>64</v>
      </c>
      <c r="K400" s="67"/>
      <c r="L400" s="20"/>
      <c r="M400" s="20"/>
    </row>
    <row r="401" spans="1:13">
      <c r="A401" s="6" t="s">
        <v>750</v>
      </c>
      <c r="B401" s="6"/>
      <c r="C401" s="6" t="s">
        <v>748</v>
      </c>
      <c r="D401" s="5" t="s">
        <v>53</v>
      </c>
      <c r="E401" s="6" t="s">
        <v>402</v>
      </c>
      <c r="F401" s="6" t="s">
        <v>141</v>
      </c>
      <c r="G401" s="54" t="s">
        <v>78</v>
      </c>
      <c r="H401" s="6">
        <v>476</v>
      </c>
      <c r="I401" s="55" t="s">
        <v>39</v>
      </c>
      <c r="J401" s="56" t="s">
        <v>61</v>
      </c>
      <c r="K401" s="57"/>
      <c r="L401" s="56"/>
      <c r="M401" s="53"/>
    </row>
    <row r="402" spans="1:13">
      <c r="A402" s="6" t="s">
        <v>640</v>
      </c>
      <c r="B402" s="6"/>
      <c r="C402" s="6" t="s">
        <v>700</v>
      </c>
      <c r="D402" s="5" t="s">
        <v>53</v>
      </c>
      <c r="E402" s="6" t="s">
        <v>402</v>
      </c>
      <c r="F402" s="6" t="s">
        <v>141</v>
      </c>
      <c r="G402" s="54" t="s">
        <v>78</v>
      </c>
      <c r="H402" s="6">
        <v>476</v>
      </c>
      <c r="I402" s="55" t="s">
        <v>92</v>
      </c>
      <c r="J402" s="56" t="s">
        <v>65</v>
      </c>
      <c r="K402" s="68"/>
      <c r="L402" s="56"/>
      <c r="M402" s="56"/>
    </row>
    <row r="403" spans="1:13">
      <c r="A403" s="6"/>
      <c r="B403" s="6"/>
      <c r="C403" s="6" t="s">
        <v>423</v>
      </c>
      <c r="D403" s="29" t="s">
        <v>53</v>
      </c>
      <c r="E403" s="4" t="s">
        <v>415</v>
      </c>
      <c r="F403" s="6" t="s">
        <v>412</v>
      </c>
      <c r="G403" s="54" t="s">
        <v>562</v>
      </c>
      <c r="H403" s="6">
        <v>680</v>
      </c>
      <c r="I403" s="55" t="s">
        <v>42</v>
      </c>
      <c r="J403" s="56" t="s">
        <v>421</v>
      </c>
      <c r="K403" s="57"/>
      <c r="L403" s="56"/>
      <c r="M403" s="53"/>
    </row>
    <row r="404" spans="1:13">
      <c r="A404" s="6"/>
      <c r="B404" s="6"/>
      <c r="C404" s="6" t="s">
        <v>436</v>
      </c>
      <c r="D404" s="29" t="s">
        <v>54</v>
      </c>
      <c r="E404" s="4" t="s">
        <v>437</v>
      </c>
      <c r="F404" s="6" t="s">
        <v>40</v>
      </c>
      <c r="G404" s="54" t="s">
        <v>562</v>
      </c>
      <c r="H404" s="6">
        <v>103</v>
      </c>
      <c r="I404" s="55" t="s">
        <v>92</v>
      </c>
      <c r="J404" s="56" t="s">
        <v>418</v>
      </c>
      <c r="K404" s="57"/>
      <c r="L404" s="56"/>
      <c r="M404" s="53"/>
    </row>
    <row r="405" spans="1:13">
      <c r="A405" s="18" t="s">
        <v>408</v>
      </c>
      <c r="B405" s="18"/>
      <c r="C405" s="18" t="s">
        <v>401</v>
      </c>
      <c r="D405" s="19" t="s">
        <v>54</v>
      </c>
      <c r="E405" s="18" t="s">
        <v>404</v>
      </c>
      <c r="F405" s="18" t="s">
        <v>403</v>
      </c>
      <c r="G405" s="30" t="s">
        <v>562</v>
      </c>
      <c r="H405" s="18">
        <v>106</v>
      </c>
      <c r="I405" s="28" t="s">
        <v>92</v>
      </c>
      <c r="J405" s="20" t="s">
        <v>369</v>
      </c>
      <c r="K405" s="20"/>
      <c r="L405" s="20"/>
      <c r="M405" s="20"/>
    </row>
    <row r="406" spans="1:13">
      <c r="A406" s="6"/>
      <c r="B406" s="6"/>
      <c r="C406" s="6" t="s">
        <v>532</v>
      </c>
      <c r="D406" s="5" t="s">
        <v>54</v>
      </c>
      <c r="E406" s="4" t="s">
        <v>536</v>
      </c>
      <c r="F406" s="6" t="s">
        <v>403</v>
      </c>
      <c r="G406" s="54" t="s">
        <v>562</v>
      </c>
      <c r="H406" s="6">
        <v>106</v>
      </c>
      <c r="I406" s="55" t="s">
        <v>92</v>
      </c>
      <c r="J406" s="56" t="s">
        <v>369</v>
      </c>
      <c r="K406" s="57"/>
      <c r="L406" s="56"/>
      <c r="M406" s="53"/>
    </row>
    <row r="407" spans="1:13">
      <c r="A407" s="6"/>
      <c r="B407" s="6"/>
      <c r="C407" s="6" t="s">
        <v>533</v>
      </c>
      <c r="D407" s="5" t="s">
        <v>54</v>
      </c>
      <c r="E407" s="4" t="s">
        <v>536</v>
      </c>
      <c r="F407" s="6" t="s">
        <v>403</v>
      </c>
      <c r="G407" s="54" t="s">
        <v>562</v>
      </c>
      <c r="H407" s="6">
        <v>106</v>
      </c>
      <c r="I407" s="55" t="s">
        <v>92</v>
      </c>
      <c r="J407" s="56" t="s">
        <v>369</v>
      </c>
      <c r="K407" s="57"/>
      <c r="L407" s="56"/>
      <c r="M407" s="53"/>
    </row>
    <row r="408" spans="1:13">
      <c r="A408" s="6" t="s">
        <v>740</v>
      </c>
      <c r="B408" s="6" t="s">
        <v>658</v>
      </c>
      <c r="C408" s="6"/>
      <c r="D408" s="5" t="s">
        <v>54</v>
      </c>
      <c r="E408" s="4" t="s">
        <v>536</v>
      </c>
      <c r="F408" s="6" t="s">
        <v>403</v>
      </c>
      <c r="G408" s="54" t="s">
        <v>562</v>
      </c>
      <c r="H408" s="6">
        <v>106</v>
      </c>
      <c r="I408" s="55" t="s">
        <v>92</v>
      </c>
      <c r="J408" s="56" t="s">
        <v>64</v>
      </c>
      <c r="K408" s="57"/>
      <c r="L408" s="56"/>
      <c r="M408" s="53"/>
    </row>
    <row r="409" spans="1:13">
      <c r="A409" s="6"/>
      <c r="B409" s="6"/>
      <c r="C409" s="6" t="s">
        <v>495</v>
      </c>
      <c r="D409" s="5" t="s">
        <v>54</v>
      </c>
      <c r="E409" s="4" t="s">
        <v>536</v>
      </c>
      <c r="F409" s="6" t="s">
        <v>368</v>
      </c>
      <c r="G409" s="54" t="s">
        <v>562</v>
      </c>
      <c r="H409" s="6">
        <v>106</v>
      </c>
      <c r="I409" s="55" t="s">
        <v>92</v>
      </c>
      <c r="J409" s="56" t="s">
        <v>375</v>
      </c>
      <c r="K409" s="57"/>
      <c r="L409" s="56"/>
      <c r="M409" s="53"/>
    </row>
    <row r="410" spans="1:13">
      <c r="A410" s="6"/>
      <c r="B410" s="6"/>
      <c r="C410" s="6" t="s">
        <v>433</v>
      </c>
      <c r="D410" s="29" t="s">
        <v>54</v>
      </c>
      <c r="E410" s="4" t="s">
        <v>434</v>
      </c>
      <c r="F410" s="6" t="s">
        <v>40</v>
      </c>
      <c r="G410" s="54" t="s">
        <v>562</v>
      </c>
      <c r="H410" s="6">
        <v>224</v>
      </c>
      <c r="I410" s="55" t="s">
        <v>92</v>
      </c>
      <c r="J410" s="56" t="s">
        <v>432</v>
      </c>
      <c r="K410" s="57"/>
      <c r="L410" s="56"/>
      <c r="M410" s="53"/>
    </row>
    <row r="411" spans="1:13">
      <c r="A411" s="6"/>
      <c r="B411" s="6"/>
      <c r="C411" s="6" t="s">
        <v>741</v>
      </c>
      <c r="D411" s="5" t="s">
        <v>54</v>
      </c>
      <c r="E411" s="4" t="s">
        <v>536</v>
      </c>
      <c r="F411" s="6" t="s">
        <v>403</v>
      </c>
      <c r="G411" s="54" t="s">
        <v>562</v>
      </c>
      <c r="H411" s="6">
        <v>225</v>
      </c>
      <c r="I411" s="55" t="s">
        <v>92</v>
      </c>
      <c r="J411" s="56" t="s">
        <v>166</v>
      </c>
      <c r="K411" s="57"/>
      <c r="L411" s="56"/>
      <c r="M411" s="53"/>
    </row>
    <row r="412" spans="1:13">
      <c r="A412" s="18" t="s">
        <v>733</v>
      </c>
      <c r="B412" s="18" t="s">
        <v>687</v>
      </c>
      <c r="C412" s="18"/>
      <c r="D412" s="19" t="s">
        <v>54</v>
      </c>
      <c r="E412" s="12" t="s">
        <v>536</v>
      </c>
      <c r="F412" s="18" t="s">
        <v>141</v>
      </c>
      <c r="G412" s="30" t="s">
        <v>78</v>
      </c>
      <c r="H412" s="18">
        <v>226</v>
      </c>
      <c r="I412" s="28" t="s">
        <v>92</v>
      </c>
      <c r="J412" s="20" t="s">
        <v>367</v>
      </c>
      <c r="K412" s="72"/>
      <c r="L412" s="20"/>
      <c r="M412" s="71"/>
    </row>
    <row r="413" spans="1:13">
      <c r="A413" s="6"/>
      <c r="B413" s="6"/>
      <c r="C413" s="6" t="s">
        <v>529</v>
      </c>
      <c r="D413" s="5" t="s">
        <v>54</v>
      </c>
      <c r="E413" s="4" t="s">
        <v>536</v>
      </c>
      <c r="F413" s="6" t="s">
        <v>403</v>
      </c>
      <c r="G413" s="54" t="s">
        <v>562</v>
      </c>
      <c r="H413" s="6">
        <v>226</v>
      </c>
      <c r="I413" s="55" t="s">
        <v>92</v>
      </c>
      <c r="J413" s="56" t="s">
        <v>367</v>
      </c>
      <c r="K413" s="57"/>
      <c r="L413" s="56"/>
      <c r="M413" s="53"/>
    </row>
    <row r="414" spans="1:13">
      <c r="A414" s="6"/>
      <c r="B414" s="6"/>
      <c r="C414" s="6" t="s">
        <v>530</v>
      </c>
      <c r="D414" s="5" t="s">
        <v>54</v>
      </c>
      <c r="E414" s="4" t="s">
        <v>536</v>
      </c>
      <c r="F414" s="6" t="s">
        <v>403</v>
      </c>
      <c r="G414" s="54" t="s">
        <v>562</v>
      </c>
      <c r="H414" s="6">
        <v>226</v>
      </c>
      <c r="I414" s="55" t="s">
        <v>92</v>
      </c>
      <c r="J414" s="56" t="s">
        <v>367</v>
      </c>
      <c r="K414" s="57"/>
      <c r="L414" s="56"/>
      <c r="M414" s="53"/>
    </row>
    <row r="415" spans="1:13">
      <c r="A415" s="6"/>
      <c r="B415" s="6"/>
      <c r="C415" s="6" t="s">
        <v>531</v>
      </c>
      <c r="D415" s="5" t="s">
        <v>54</v>
      </c>
      <c r="E415" s="4" t="s">
        <v>536</v>
      </c>
      <c r="F415" s="6" t="s">
        <v>403</v>
      </c>
      <c r="G415" s="54" t="s">
        <v>562</v>
      </c>
      <c r="H415" s="6">
        <v>226</v>
      </c>
      <c r="I415" s="55" t="s">
        <v>44</v>
      </c>
      <c r="J415" s="56" t="s">
        <v>367</v>
      </c>
      <c r="K415" s="57"/>
      <c r="L415" s="56"/>
      <c r="M415" s="53"/>
    </row>
    <row r="416" spans="1:13">
      <c r="A416" s="18" t="s">
        <v>642</v>
      </c>
      <c r="B416" s="18" t="s">
        <v>688</v>
      </c>
      <c r="C416" s="18"/>
      <c r="D416" s="19" t="s">
        <v>54</v>
      </c>
      <c r="E416" s="18" t="s">
        <v>536</v>
      </c>
      <c r="F416" s="18" t="s">
        <v>403</v>
      </c>
      <c r="G416" s="30" t="s">
        <v>562</v>
      </c>
      <c r="H416" s="18">
        <v>226</v>
      </c>
      <c r="I416" s="28" t="s">
        <v>92</v>
      </c>
      <c r="J416" s="20" t="s">
        <v>63</v>
      </c>
      <c r="K416" s="33"/>
      <c r="L416" s="20"/>
      <c r="M416" s="20"/>
    </row>
    <row r="417" spans="1:13">
      <c r="A417" s="6"/>
      <c r="B417" s="6"/>
      <c r="C417" s="6" t="s">
        <v>435</v>
      </c>
      <c r="D417" s="29" t="s">
        <v>54</v>
      </c>
      <c r="E417" s="4" t="s">
        <v>434</v>
      </c>
      <c r="F417" s="6" t="s">
        <v>40</v>
      </c>
      <c r="G417" s="54" t="s">
        <v>562</v>
      </c>
      <c r="H417" s="6">
        <v>473</v>
      </c>
      <c r="I417" s="55" t="s">
        <v>92</v>
      </c>
      <c r="J417" s="56" t="s">
        <v>421</v>
      </c>
      <c r="K417" s="57"/>
      <c r="L417" s="56"/>
      <c r="M417" s="53"/>
    </row>
    <row r="418" spans="1:13">
      <c r="A418" s="6"/>
      <c r="B418" s="6"/>
      <c r="C418" s="6" t="s">
        <v>496</v>
      </c>
      <c r="D418" s="5" t="s">
        <v>54</v>
      </c>
      <c r="E418" s="4" t="s">
        <v>536</v>
      </c>
      <c r="F418" s="6"/>
      <c r="G418" s="54" t="s">
        <v>78</v>
      </c>
      <c r="H418" s="6">
        <v>475</v>
      </c>
      <c r="I418" s="55" t="s">
        <v>92</v>
      </c>
      <c r="J418" s="56" t="s">
        <v>369</v>
      </c>
      <c r="K418" s="57"/>
      <c r="L418" s="56"/>
      <c r="M418" s="53"/>
    </row>
    <row r="419" spans="1:13">
      <c r="A419" s="6"/>
      <c r="B419" s="6"/>
      <c r="C419" s="6" t="s">
        <v>497</v>
      </c>
      <c r="D419" s="5" t="s">
        <v>54</v>
      </c>
      <c r="E419" s="4" t="s">
        <v>536</v>
      </c>
      <c r="F419" s="6" t="s">
        <v>403</v>
      </c>
      <c r="G419" s="54" t="s">
        <v>562</v>
      </c>
      <c r="H419" s="6">
        <v>475</v>
      </c>
      <c r="I419" s="55" t="s">
        <v>92</v>
      </c>
      <c r="J419" s="56" t="s">
        <v>375</v>
      </c>
      <c r="K419" s="57"/>
      <c r="L419" s="56"/>
      <c r="M419" s="53"/>
    </row>
    <row r="420" spans="1:13">
      <c r="A420" s="6"/>
      <c r="B420" s="6"/>
      <c r="C420" s="6" t="s">
        <v>534</v>
      </c>
      <c r="D420" s="5" t="s">
        <v>54</v>
      </c>
      <c r="E420" s="4" t="s">
        <v>536</v>
      </c>
      <c r="F420" s="6" t="s">
        <v>403</v>
      </c>
      <c r="G420" s="54" t="s">
        <v>562</v>
      </c>
      <c r="H420" s="6">
        <v>475</v>
      </c>
      <c r="I420" s="55" t="s">
        <v>92</v>
      </c>
      <c r="J420" s="56" t="s">
        <v>375</v>
      </c>
      <c r="K420" s="57"/>
      <c r="L420" s="56"/>
      <c r="M420" s="53"/>
    </row>
    <row r="421" spans="1:13">
      <c r="A421" s="6"/>
      <c r="B421" s="6"/>
      <c r="C421" s="6" t="s">
        <v>535</v>
      </c>
      <c r="D421" s="5" t="s">
        <v>54</v>
      </c>
      <c r="E421" s="4" t="s">
        <v>536</v>
      </c>
      <c r="F421" s="6" t="s">
        <v>403</v>
      </c>
      <c r="G421" s="54" t="s">
        <v>562</v>
      </c>
      <c r="H421" s="6">
        <v>475</v>
      </c>
      <c r="I421" s="55" t="s">
        <v>92</v>
      </c>
      <c r="J421" s="56" t="s">
        <v>375</v>
      </c>
      <c r="K421" s="57"/>
      <c r="L421" s="56"/>
      <c r="M421" s="53"/>
    </row>
    <row r="422" spans="1:13">
      <c r="A422" s="12" t="s">
        <v>734</v>
      </c>
      <c r="B422" s="12"/>
      <c r="C422" s="12" t="s">
        <v>123</v>
      </c>
      <c r="D422" s="13" t="s">
        <v>54</v>
      </c>
      <c r="E422" s="12" t="s">
        <v>124</v>
      </c>
      <c r="F422" s="14" t="s">
        <v>43</v>
      </c>
      <c r="G422" s="15" t="s">
        <v>78</v>
      </c>
      <c r="H422" s="12">
        <v>476</v>
      </c>
      <c r="I422" s="28" t="s">
        <v>20</v>
      </c>
      <c r="J422" s="16" t="s">
        <v>62</v>
      </c>
      <c r="K422" s="12"/>
      <c r="L422" s="12"/>
      <c r="M422" s="12"/>
    </row>
    <row r="423" spans="1:13">
      <c r="A423" s="6"/>
      <c r="B423" s="6"/>
      <c r="C423" s="6" t="s">
        <v>527</v>
      </c>
      <c r="D423" s="5" t="s">
        <v>54</v>
      </c>
      <c r="E423" s="4" t="s">
        <v>536</v>
      </c>
      <c r="F423" s="6" t="s">
        <v>403</v>
      </c>
      <c r="G423" s="54" t="s">
        <v>562</v>
      </c>
      <c r="H423" s="6">
        <v>476</v>
      </c>
      <c r="I423" s="55" t="s">
        <v>92</v>
      </c>
      <c r="J423" s="56" t="s">
        <v>361</v>
      </c>
      <c r="K423" s="57"/>
      <c r="L423" s="56"/>
      <c r="M423" s="53"/>
    </row>
    <row r="424" spans="1:13">
      <c r="A424" s="6"/>
      <c r="B424" s="6"/>
      <c r="C424" s="6" t="s">
        <v>528</v>
      </c>
      <c r="D424" s="5" t="s">
        <v>54</v>
      </c>
      <c r="E424" s="4" t="s">
        <v>536</v>
      </c>
      <c r="F424" s="6" t="s">
        <v>403</v>
      </c>
      <c r="G424" s="54" t="s">
        <v>562</v>
      </c>
      <c r="H424" s="6">
        <v>476</v>
      </c>
      <c r="I424" s="55" t="s">
        <v>44</v>
      </c>
      <c r="J424" s="56" t="s">
        <v>361</v>
      </c>
      <c r="K424" s="57"/>
      <c r="L424" s="56"/>
      <c r="M424" s="53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DE6B7-F0E0-4304-B5C4-5246C5BC7C49}">
  <sheetPr codeName="工作表3"/>
  <dimension ref="A1:Q31"/>
  <sheetViews>
    <sheetView workbookViewId="0">
      <selection activeCell="D23" sqref="D23"/>
    </sheetView>
  </sheetViews>
  <sheetFormatPr defaultRowHeight="17"/>
  <cols>
    <col min="1" max="5" width="18.81640625" customWidth="1"/>
    <col min="6" max="7" width="18.81640625" hidden="1" customWidth="1"/>
    <col min="8" max="8" width="19.453125" customWidth="1"/>
    <col min="11" max="11" width="13.36328125" customWidth="1"/>
    <col min="14" max="14" width="9.1796875" customWidth="1"/>
  </cols>
  <sheetData>
    <row r="1" spans="1:17">
      <c r="A1" s="7" t="s">
        <v>60</v>
      </c>
      <c r="B1" s="6" t="s">
        <v>59</v>
      </c>
      <c r="C1" s="6" t="s">
        <v>55</v>
      </c>
      <c r="D1" s="6" t="s">
        <v>130</v>
      </c>
      <c r="E1" s="6" t="s">
        <v>57</v>
      </c>
      <c r="F1" s="6" t="s">
        <v>56</v>
      </c>
      <c r="G1" s="6" t="s">
        <v>58</v>
      </c>
      <c r="H1" s="4" t="s">
        <v>559</v>
      </c>
      <c r="I1" s="4" t="s">
        <v>66</v>
      </c>
      <c r="J1" s="4" t="s">
        <v>69</v>
      </c>
      <c r="K1" s="29" t="s">
        <v>3</v>
      </c>
      <c r="L1" s="4" t="s">
        <v>67</v>
      </c>
      <c r="M1" s="4" t="s">
        <v>4</v>
      </c>
      <c r="N1" s="6" t="s">
        <v>68</v>
      </c>
      <c r="O1" s="32" t="s">
        <v>2</v>
      </c>
      <c r="P1" s="4" t="s">
        <v>0</v>
      </c>
      <c r="Q1" s="4" t="s">
        <v>1</v>
      </c>
    </row>
    <row r="2" spans="1:17">
      <c r="A2" s="18" t="s">
        <v>187</v>
      </c>
      <c r="B2" s="18"/>
      <c r="C2" s="18"/>
      <c r="D2" s="18"/>
      <c r="E2" s="18"/>
      <c r="F2" s="18"/>
      <c r="G2" s="18"/>
      <c r="H2" s="13" t="s">
        <v>89</v>
      </c>
      <c r="I2" s="12" t="s">
        <v>6</v>
      </c>
      <c r="J2" s="14" t="s">
        <v>43</v>
      </c>
      <c r="K2" s="15" t="s">
        <v>78</v>
      </c>
      <c r="L2" s="12">
        <v>475</v>
      </c>
      <c r="M2" s="28" t="s">
        <v>44</v>
      </c>
      <c r="N2" s="16" t="s">
        <v>62</v>
      </c>
      <c r="O2" s="27"/>
      <c r="P2" s="20"/>
      <c r="Q2" s="20"/>
    </row>
    <row r="3" spans="1:17">
      <c r="A3" s="18" t="s">
        <v>186</v>
      </c>
      <c r="B3" s="18"/>
      <c r="C3" s="18" t="s">
        <v>315</v>
      </c>
      <c r="D3" s="18"/>
      <c r="E3" s="18" t="s">
        <v>405</v>
      </c>
      <c r="F3" s="18"/>
      <c r="G3" s="18"/>
      <c r="H3" s="19" t="s">
        <v>108</v>
      </c>
      <c r="I3" s="18" t="s">
        <v>371</v>
      </c>
      <c r="J3" s="18" t="s">
        <v>141</v>
      </c>
      <c r="K3" s="30" t="s">
        <v>78</v>
      </c>
      <c r="L3" s="18">
        <v>225</v>
      </c>
      <c r="M3" s="28" t="s">
        <v>92</v>
      </c>
      <c r="N3" s="20" t="s">
        <v>367</v>
      </c>
      <c r="O3" s="20"/>
      <c r="P3" s="20"/>
      <c r="Q3" s="20"/>
    </row>
    <row r="4" spans="1:17">
      <c r="A4" s="18"/>
      <c r="B4" s="18"/>
      <c r="C4" s="21" t="s">
        <v>553</v>
      </c>
      <c r="D4" s="18"/>
      <c r="E4" s="18" t="s">
        <v>158</v>
      </c>
      <c r="F4" s="18"/>
      <c r="G4" s="18"/>
      <c r="H4" s="19" t="s">
        <v>108</v>
      </c>
      <c r="I4" s="18" t="s">
        <v>11</v>
      </c>
      <c r="J4" s="18" t="s">
        <v>141</v>
      </c>
      <c r="K4" s="30" t="s">
        <v>78</v>
      </c>
      <c r="L4" s="18">
        <v>225</v>
      </c>
      <c r="M4" s="28" t="s">
        <v>20</v>
      </c>
      <c r="N4" s="20" t="s">
        <v>63</v>
      </c>
      <c r="O4" s="20"/>
      <c r="P4" s="20"/>
      <c r="Q4" s="20"/>
    </row>
    <row r="5" spans="1:17">
      <c r="A5" s="12"/>
      <c r="B5" s="12"/>
      <c r="C5" s="12" t="s">
        <v>107</v>
      </c>
      <c r="D5" s="12"/>
      <c r="E5" s="12"/>
      <c r="F5" s="12"/>
      <c r="G5" s="12"/>
      <c r="H5" s="13" t="s">
        <v>108</v>
      </c>
      <c r="I5" s="12" t="s">
        <v>11</v>
      </c>
      <c r="J5" s="14" t="s">
        <v>43</v>
      </c>
      <c r="K5" s="15" t="s">
        <v>78</v>
      </c>
      <c r="L5" s="12">
        <v>225</v>
      </c>
      <c r="M5" s="28" t="s">
        <v>92</v>
      </c>
      <c r="N5" s="16" t="s">
        <v>64</v>
      </c>
      <c r="O5" s="12"/>
      <c r="P5" s="12"/>
      <c r="Q5" s="12"/>
    </row>
    <row r="6" spans="1:17">
      <c r="A6" s="18"/>
      <c r="B6" s="18"/>
      <c r="C6" s="18" t="s">
        <v>162</v>
      </c>
      <c r="D6" s="18"/>
      <c r="E6" s="18" t="s">
        <v>49</v>
      </c>
      <c r="F6" s="18" t="s">
        <v>50</v>
      </c>
      <c r="G6" s="18"/>
      <c r="H6" s="19" t="s">
        <v>10</v>
      </c>
      <c r="I6" s="18" t="s">
        <v>11</v>
      </c>
      <c r="J6" s="18" t="s">
        <v>40</v>
      </c>
      <c r="K6" s="30" t="s">
        <v>562</v>
      </c>
      <c r="L6" s="18">
        <v>105</v>
      </c>
      <c r="M6" s="28" t="s">
        <v>20</v>
      </c>
      <c r="N6" s="20" t="s">
        <v>63</v>
      </c>
      <c r="O6" s="20"/>
      <c r="P6" s="20"/>
      <c r="Q6" s="20"/>
    </row>
    <row r="7" spans="1:17">
      <c r="A7" s="21" t="s">
        <v>576</v>
      </c>
      <c r="B7" s="18"/>
      <c r="C7" s="18"/>
      <c r="D7" s="18"/>
      <c r="E7" s="18"/>
      <c r="F7" s="18"/>
      <c r="G7" s="18"/>
      <c r="H7" s="19" t="s">
        <v>13</v>
      </c>
      <c r="I7" s="18" t="s">
        <v>23</v>
      </c>
      <c r="J7" s="18" t="s">
        <v>43</v>
      </c>
      <c r="K7" s="30" t="s">
        <v>78</v>
      </c>
      <c r="L7" s="18">
        <v>106</v>
      </c>
      <c r="M7" s="28" t="s">
        <v>92</v>
      </c>
      <c r="N7" s="20" t="s">
        <v>62</v>
      </c>
      <c r="O7" s="20" t="s">
        <v>632</v>
      </c>
      <c r="P7" s="20"/>
      <c r="Q7" s="20"/>
    </row>
    <row r="8" spans="1:17">
      <c r="A8" s="44" t="s">
        <v>143</v>
      </c>
      <c r="B8" s="39"/>
      <c r="C8" s="39" t="s">
        <v>573</v>
      </c>
      <c r="D8" s="39"/>
      <c r="E8" s="50" t="s">
        <v>16</v>
      </c>
      <c r="F8" s="39"/>
      <c r="G8" s="39"/>
      <c r="H8" s="45" t="s">
        <v>13</v>
      </c>
      <c r="I8" s="39" t="s">
        <v>14</v>
      </c>
      <c r="J8" s="39" t="s">
        <v>43</v>
      </c>
      <c r="K8" s="40" t="s">
        <v>78</v>
      </c>
      <c r="L8" s="39">
        <v>106</v>
      </c>
      <c r="M8" s="41" t="s">
        <v>92</v>
      </c>
      <c r="N8" s="46" t="s">
        <v>63</v>
      </c>
      <c r="O8" s="46" t="s">
        <v>632</v>
      </c>
      <c r="P8" s="46"/>
      <c r="Q8" s="46"/>
    </row>
    <row r="9" spans="1:17">
      <c r="A9" s="18" t="s">
        <v>380</v>
      </c>
      <c r="B9" s="18"/>
      <c r="C9" s="18"/>
      <c r="D9" s="18"/>
      <c r="E9" s="18"/>
      <c r="F9" s="18"/>
      <c r="G9" s="18"/>
      <c r="H9" s="19" t="s">
        <v>13</v>
      </c>
      <c r="I9" s="18" t="s">
        <v>23</v>
      </c>
      <c r="J9" s="18" t="s">
        <v>43</v>
      </c>
      <c r="K9" s="30" t="s">
        <v>78</v>
      </c>
      <c r="L9" s="18">
        <v>226</v>
      </c>
      <c r="M9" s="28" t="s">
        <v>44</v>
      </c>
      <c r="N9" s="20" t="s">
        <v>61</v>
      </c>
      <c r="O9" s="20"/>
      <c r="P9" s="20"/>
      <c r="Q9" s="20"/>
    </row>
    <row r="10" spans="1:17">
      <c r="A10" s="39"/>
      <c r="B10" s="39"/>
      <c r="C10" s="39" t="s">
        <v>397</v>
      </c>
      <c r="D10" s="39"/>
      <c r="E10" s="44" t="s">
        <v>566</v>
      </c>
      <c r="F10" s="39"/>
      <c r="G10" s="39"/>
      <c r="H10" s="45" t="s">
        <v>13</v>
      </c>
      <c r="I10" s="39" t="s">
        <v>14</v>
      </c>
      <c r="J10" s="39" t="s">
        <v>43</v>
      </c>
      <c r="K10" s="40" t="s">
        <v>78</v>
      </c>
      <c r="L10" s="39">
        <v>226</v>
      </c>
      <c r="M10" s="41" t="s">
        <v>39</v>
      </c>
      <c r="N10" s="46" t="s">
        <v>63</v>
      </c>
      <c r="O10" s="46"/>
      <c r="P10" s="46"/>
      <c r="Q10" s="46"/>
    </row>
    <row r="11" spans="1:17">
      <c r="A11" s="36" t="s">
        <v>398</v>
      </c>
      <c r="B11" s="9"/>
      <c r="C11" s="9"/>
      <c r="D11" s="9"/>
      <c r="E11" s="9" t="s">
        <v>17</v>
      </c>
      <c r="F11" s="9"/>
      <c r="G11" s="9"/>
      <c r="H11" s="10" t="s">
        <v>13</v>
      </c>
      <c r="I11" s="9" t="s">
        <v>14</v>
      </c>
      <c r="J11" s="9" t="s">
        <v>43</v>
      </c>
      <c r="K11" s="31" t="s">
        <v>78</v>
      </c>
      <c r="L11" s="9">
        <v>475</v>
      </c>
      <c r="M11" s="24" t="s">
        <v>20</v>
      </c>
      <c r="N11" s="11" t="s">
        <v>63</v>
      </c>
      <c r="O11" s="11" t="s">
        <v>633</v>
      </c>
      <c r="P11" s="11"/>
      <c r="Q11" s="11"/>
    </row>
    <row r="12" spans="1:17">
      <c r="A12" s="36" t="s">
        <v>398</v>
      </c>
      <c r="B12" s="9"/>
      <c r="C12" s="9"/>
      <c r="D12" s="9"/>
      <c r="E12" s="9" t="s">
        <v>17</v>
      </c>
      <c r="F12" s="9"/>
      <c r="G12" s="9"/>
      <c r="H12" s="10" t="s">
        <v>13</v>
      </c>
      <c r="I12" s="9" t="s">
        <v>14</v>
      </c>
      <c r="J12" s="9" t="s">
        <v>43</v>
      </c>
      <c r="K12" s="31" t="s">
        <v>78</v>
      </c>
      <c r="L12" s="9">
        <v>475</v>
      </c>
      <c r="M12" s="24" t="s">
        <v>20</v>
      </c>
      <c r="N12" s="11" t="s">
        <v>63</v>
      </c>
      <c r="O12" s="11"/>
      <c r="P12" s="11"/>
      <c r="Q12" s="11"/>
    </row>
    <row r="13" spans="1:17">
      <c r="A13" s="12"/>
      <c r="B13" s="12"/>
      <c r="C13" s="12" t="s">
        <v>115</v>
      </c>
      <c r="D13" s="12"/>
      <c r="E13" s="12" t="s">
        <v>116</v>
      </c>
      <c r="F13" s="12"/>
      <c r="G13" s="12"/>
      <c r="H13" s="13" t="s">
        <v>52</v>
      </c>
      <c r="I13" s="12" t="s">
        <v>14</v>
      </c>
      <c r="J13" s="14" t="s">
        <v>43</v>
      </c>
      <c r="K13" s="30" t="s">
        <v>78</v>
      </c>
      <c r="L13" s="12">
        <v>475</v>
      </c>
      <c r="M13" s="28" t="s">
        <v>92</v>
      </c>
      <c r="N13" s="16" t="s">
        <v>64</v>
      </c>
      <c r="O13" s="12"/>
      <c r="P13" s="12"/>
      <c r="Q13" s="12"/>
    </row>
    <row r="14" spans="1:17">
      <c r="A14" s="18"/>
      <c r="B14" s="18"/>
      <c r="C14" s="21" t="s">
        <v>167</v>
      </c>
      <c r="D14" s="18"/>
      <c r="E14" s="18" t="s">
        <v>165</v>
      </c>
      <c r="F14" s="18"/>
      <c r="G14" s="18"/>
      <c r="H14" s="19" t="s">
        <v>13</v>
      </c>
      <c r="I14" s="18" t="s">
        <v>14</v>
      </c>
      <c r="J14" s="18" t="s">
        <v>40</v>
      </c>
      <c r="K14" s="30" t="s">
        <v>562</v>
      </c>
      <c r="L14" s="18">
        <v>104</v>
      </c>
      <c r="M14" s="28" t="s">
        <v>20</v>
      </c>
      <c r="N14" s="20" t="s">
        <v>166</v>
      </c>
      <c r="O14" s="20"/>
      <c r="P14" s="20"/>
      <c r="Q14" s="20"/>
    </row>
    <row r="15" spans="1:17">
      <c r="A15" s="18"/>
      <c r="B15" s="18"/>
      <c r="C15" s="18" t="s">
        <v>595</v>
      </c>
      <c r="D15" s="18"/>
      <c r="E15" s="18" t="s">
        <v>133</v>
      </c>
      <c r="F15" s="18" t="s">
        <v>48</v>
      </c>
      <c r="G15" s="18"/>
      <c r="H15" s="19" t="s">
        <v>52</v>
      </c>
      <c r="I15" s="18" t="s">
        <v>14</v>
      </c>
      <c r="J15" s="18" t="s">
        <v>40</v>
      </c>
      <c r="K15" s="30" t="s">
        <v>562</v>
      </c>
      <c r="L15" s="18">
        <v>105</v>
      </c>
      <c r="M15" s="28" t="s">
        <v>92</v>
      </c>
      <c r="N15" s="20" t="s">
        <v>63</v>
      </c>
      <c r="O15" s="20"/>
      <c r="P15" s="20"/>
      <c r="Q15" s="20"/>
    </row>
    <row r="16" spans="1:17">
      <c r="A16" s="18"/>
      <c r="B16" s="18"/>
      <c r="C16" s="18" t="s">
        <v>634</v>
      </c>
      <c r="D16" s="18"/>
      <c r="E16" s="18" t="s">
        <v>636</v>
      </c>
      <c r="F16" s="18"/>
      <c r="G16" s="18"/>
      <c r="H16" s="19" t="s">
        <v>13</v>
      </c>
      <c r="I16" s="18" t="s">
        <v>14</v>
      </c>
      <c r="J16" s="18" t="s">
        <v>40</v>
      </c>
      <c r="K16" s="30" t="s">
        <v>562</v>
      </c>
      <c r="L16" s="18">
        <v>106</v>
      </c>
      <c r="M16" s="28" t="s">
        <v>20</v>
      </c>
      <c r="N16" s="20" t="s">
        <v>635</v>
      </c>
      <c r="O16" s="33"/>
      <c r="P16" s="20"/>
      <c r="Q16" s="20"/>
    </row>
    <row r="17" spans="1:17">
      <c r="A17" s="18"/>
      <c r="B17" s="18"/>
      <c r="C17" s="18" t="s">
        <v>170</v>
      </c>
      <c r="D17" s="18"/>
      <c r="E17" s="18" t="s">
        <v>32</v>
      </c>
      <c r="F17" s="18"/>
      <c r="G17" s="18"/>
      <c r="H17" s="19" t="s">
        <v>13</v>
      </c>
      <c r="I17" s="18" t="s">
        <v>14</v>
      </c>
      <c r="J17" s="18" t="s">
        <v>40</v>
      </c>
      <c r="K17" s="30" t="s">
        <v>562</v>
      </c>
      <c r="L17" s="18">
        <v>225</v>
      </c>
      <c r="M17" s="28" t="s">
        <v>20</v>
      </c>
      <c r="N17" s="20" t="s">
        <v>63</v>
      </c>
      <c r="O17" s="20"/>
      <c r="P17" s="20"/>
      <c r="Q17" s="20"/>
    </row>
    <row r="18" spans="1:17">
      <c r="A18" s="18"/>
      <c r="B18" s="18"/>
      <c r="C18" s="21" t="s">
        <v>596</v>
      </c>
      <c r="D18" s="18"/>
      <c r="E18" s="18" t="s">
        <v>597</v>
      </c>
      <c r="F18" s="18"/>
      <c r="G18" s="18"/>
      <c r="H18" s="19" t="s">
        <v>13</v>
      </c>
      <c r="I18" s="18" t="s">
        <v>14</v>
      </c>
      <c r="J18" s="18" t="s">
        <v>40</v>
      </c>
      <c r="K18" s="30" t="s">
        <v>562</v>
      </c>
      <c r="L18" s="18">
        <v>475</v>
      </c>
      <c r="M18" s="28" t="s">
        <v>20</v>
      </c>
      <c r="N18" s="20" t="s">
        <v>63</v>
      </c>
      <c r="O18" s="20" t="s">
        <v>632</v>
      </c>
      <c r="P18" s="20"/>
      <c r="Q18" s="20"/>
    </row>
    <row r="19" spans="1:17" s="1" customFormat="1" ht="19.25" customHeight="1">
      <c r="A19" s="18"/>
      <c r="B19" s="18"/>
      <c r="C19" s="21" t="s">
        <v>596</v>
      </c>
      <c r="D19" s="18"/>
      <c r="E19" s="18" t="s">
        <v>597</v>
      </c>
      <c r="F19" s="18"/>
      <c r="G19" s="18"/>
      <c r="H19" s="19" t="s">
        <v>13</v>
      </c>
      <c r="I19" s="18" t="s">
        <v>14</v>
      </c>
      <c r="J19" s="18" t="s">
        <v>40</v>
      </c>
      <c r="K19" s="30" t="s">
        <v>562</v>
      </c>
      <c r="L19" s="18">
        <v>475</v>
      </c>
      <c r="M19" s="28" t="s">
        <v>20</v>
      </c>
      <c r="N19" s="20" t="s">
        <v>63</v>
      </c>
      <c r="O19" s="20"/>
      <c r="P19" s="20"/>
      <c r="Q19" s="20"/>
    </row>
    <row r="20" spans="1:17">
      <c r="A20" s="9"/>
      <c r="B20" s="9"/>
      <c r="C20" s="9" t="s">
        <v>510</v>
      </c>
      <c r="D20" s="25"/>
      <c r="E20" s="9"/>
      <c r="F20" s="9"/>
      <c r="G20" s="9"/>
      <c r="H20" s="10" t="s">
        <v>52</v>
      </c>
      <c r="I20" s="23" t="s">
        <v>374</v>
      </c>
      <c r="J20" s="9" t="s">
        <v>368</v>
      </c>
      <c r="K20" s="31" t="s">
        <v>562</v>
      </c>
      <c r="L20" s="9">
        <v>225</v>
      </c>
      <c r="M20" s="24" t="s">
        <v>92</v>
      </c>
      <c r="N20" s="11" t="s">
        <v>369</v>
      </c>
      <c r="O20" s="26"/>
      <c r="P20" s="11"/>
      <c r="Q20" s="25"/>
    </row>
    <row r="21" spans="1:17">
      <c r="A21" s="9"/>
      <c r="B21" s="9"/>
      <c r="C21" s="36" t="s">
        <v>381</v>
      </c>
      <c r="D21" s="9"/>
      <c r="E21" s="9"/>
      <c r="F21" s="9"/>
      <c r="G21" s="9"/>
      <c r="H21" s="10" t="s">
        <v>52</v>
      </c>
      <c r="I21" s="9" t="s">
        <v>374</v>
      </c>
      <c r="J21" s="9" t="s">
        <v>382</v>
      </c>
      <c r="K21" s="31" t="s">
        <v>562</v>
      </c>
      <c r="L21" s="9">
        <v>226</v>
      </c>
      <c r="M21" s="24" t="s">
        <v>39</v>
      </c>
      <c r="N21" s="11" t="s">
        <v>364</v>
      </c>
      <c r="O21" s="11" t="s">
        <v>632</v>
      </c>
      <c r="P21" s="11"/>
      <c r="Q21" s="11"/>
    </row>
    <row r="22" spans="1:17">
      <c r="A22" s="39"/>
      <c r="B22" s="39"/>
      <c r="C22" s="39"/>
      <c r="D22" s="39"/>
      <c r="E22" s="44" t="s">
        <v>25</v>
      </c>
      <c r="F22" s="39"/>
      <c r="G22" s="39"/>
      <c r="H22" s="45" t="s">
        <v>53</v>
      </c>
      <c r="I22" s="39" t="s">
        <v>18</v>
      </c>
      <c r="J22" s="39" t="s">
        <v>43</v>
      </c>
      <c r="K22" s="40" t="s">
        <v>78</v>
      </c>
      <c r="L22" s="39">
        <v>106</v>
      </c>
      <c r="M22" s="41" t="s">
        <v>20</v>
      </c>
      <c r="N22" s="46" t="s">
        <v>63</v>
      </c>
      <c r="O22" s="46"/>
      <c r="P22" s="46"/>
      <c r="Q22" s="46"/>
    </row>
    <row r="23" spans="1:17">
      <c r="A23" s="18"/>
      <c r="B23" s="18"/>
      <c r="C23" s="21" t="s">
        <v>625</v>
      </c>
      <c r="D23" s="18"/>
      <c r="E23" s="18" t="s">
        <v>45</v>
      </c>
      <c r="F23" s="18" t="s">
        <v>46</v>
      </c>
      <c r="G23" s="18"/>
      <c r="H23" s="19" t="s">
        <v>53</v>
      </c>
      <c r="I23" s="18" t="s">
        <v>402</v>
      </c>
      <c r="J23" s="18" t="s">
        <v>43</v>
      </c>
      <c r="K23" s="30" t="s">
        <v>78</v>
      </c>
      <c r="L23" s="18">
        <v>226</v>
      </c>
      <c r="M23" s="28" t="s">
        <v>20</v>
      </c>
      <c r="N23" s="20" t="s">
        <v>63</v>
      </c>
      <c r="O23" s="20" t="s">
        <v>632</v>
      </c>
      <c r="P23" s="20"/>
      <c r="Q23" s="20"/>
    </row>
    <row r="24" spans="1:17">
      <c r="A24" s="9"/>
      <c r="B24" s="9"/>
      <c r="C24" s="9" t="s">
        <v>400</v>
      </c>
      <c r="D24" s="9"/>
      <c r="E24" s="9" t="s">
        <v>407</v>
      </c>
      <c r="F24" s="9"/>
      <c r="G24" s="9"/>
      <c r="H24" s="10" t="s">
        <v>53</v>
      </c>
      <c r="I24" s="9" t="s">
        <v>402</v>
      </c>
      <c r="J24" s="9" t="s">
        <v>403</v>
      </c>
      <c r="K24" s="31" t="s">
        <v>562</v>
      </c>
      <c r="L24" s="9">
        <v>106</v>
      </c>
      <c r="M24" s="24" t="s">
        <v>92</v>
      </c>
      <c r="N24" s="11" t="s">
        <v>367</v>
      </c>
      <c r="O24" s="11"/>
      <c r="P24" s="11"/>
      <c r="Q24" s="11"/>
    </row>
    <row r="25" spans="1:17">
      <c r="A25" s="12"/>
      <c r="B25" s="12"/>
      <c r="C25" s="12" t="s">
        <v>591</v>
      </c>
      <c r="D25" s="12"/>
      <c r="E25" s="12" t="s">
        <v>119</v>
      </c>
      <c r="F25" s="12"/>
      <c r="G25" s="12"/>
      <c r="H25" s="13" t="s">
        <v>53</v>
      </c>
      <c r="I25" s="12" t="s">
        <v>18</v>
      </c>
      <c r="J25" s="14" t="s">
        <v>40</v>
      </c>
      <c r="K25" s="15" t="s">
        <v>562</v>
      </c>
      <c r="L25" s="12">
        <v>106</v>
      </c>
      <c r="M25" s="28" t="s">
        <v>92</v>
      </c>
      <c r="N25" s="16" t="s">
        <v>63</v>
      </c>
      <c r="O25" s="12"/>
      <c r="P25" s="12"/>
      <c r="Q25" s="12"/>
    </row>
    <row r="26" spans="1:17">
      <c r="A26" s="18"/>
      <c r="B26" s="18"/>
      <c r="C26" s="18" t="s">
        <v>182</v>
      </c>
      <c r="D26" s="18"/>
      <c r="E26" s="18" t="s">
        <v>183</v>
      </c>
      <c r="F26" s="18"/>
      <c r="G26" s="18"/>
      <c r="H26" s="19" t="s">
        <v>53</v>
      </c>
      <c r="I26" s="18" t="s">
        <v>18</v>
      </c>
      <c r="J26" s="18" t="s">
        <v>40</v>
      </c>
      <c r="K26" s="30" t="s">
        <v>562</v>
      </c>
      <c r="L26" s="18">
        <v>225</v>
      </c>
      <c r="M26" s="28" t="s">
        <v>20</v>
      </c>
      <c r="N26" s="20" t="s">
        <v>64</v>
      </c>
      <c r="O26" s="20"/>
      <c r="P26" s="20"/>
      <c r="Q26" s="20"/>
    </row>
    <row r="27" spans="1:17">
      <c r="A27" s="12"/>
      <c r="B27" s="12"/>
      <c r="C27" s="12" t="s">
        <v>120</v>
      </c>
      <c r="D27" s="12"/>
      <c r="E27" s="12" t="s">
        <v>121</v>
      </c>
      <c r="F27" s="12"/>
      <c r="G27" s="12"/>
      <c r="H27" s="13" t="s">
        <v>53</v>
      </c>
      <c r="I27" s="12" t="s">
        <v>18</v>
      </c>
      <c r="J27" s="14" t="s">
        <v>40</v>
      </c>
      <c r="K27" s="15" t="s">
        <v>562</v>
      </c>
      <c r="L27" s="12">
        <v>475</v>
      </c>
      <c r="M27" s="28" t="s">
        <v>92</v>
      </c>
      <c r="N27" s="16" t="s">
        <v>64</v>
      </c>
      <c r="O27" s="12"/>
      <c r="P27" s="12"/>
      <c r="Q27" s="12"/>
    </row>
    <row r="28" spans="1:17">
      <c r="A28" s="9"/>
      <c r="B28" s="9"/>
      <c r="C28" s="36" t="s">
        <v>396</v>
      </c>
      <c r="D28" s="9"/>
      <c r="E28" s="9"/>
      <c r="F28" s="9"/>
      <c r="G28" s="9"/>
      <c r="H28" s="10" t="s">
        <v>53</v>
      </c>
      <c r="I28" s="9" t="s">
        <v>18</v>
      </c>
      <c r="J28" s="9" t="s">
        <v>98</v>
      </c>
      <c r="K28" s="31" t="s">
        <v>562</v>
      </c>
      <c r="L28" s="9">
        <v>475</v>
      </c>
      <c r="M28" s="24" t="s">
        <v>20</v>
      </c>
      <c r="N28" s="11" t="s">
        <v>64</v>
      </c>
      <c r="O28" s="11" t="s">
        <v>632</v>
      </c>
      <c r="P28" s="11"/>
      <c r="Q28" s="11"/>
    </row>
    <row r="29" spans="1:17">
      <c r="A29" s="18"/>
      <c r="B29" s="18"/>
      <c r="C29" s="18" t="s">
        <v>401</v>
      </c>
      <c r="D29" s="18"/>
      <c r="E29" s="18" t="s">
        <v>408</v>
      </c>
      <c r="F29" s="18"/>
      <c r="G29" s="18"/>
      <c r="H29" s="19" t="s">
        <v>54</v>
      </c>
      <c r="I29" s="18" t="s">
        <v>404</v>
      </c>
      <c r="J29" s="18" t="s">
        <v>403</v>
      </c>
      <c r="K29" s="30" t="s">
        <v>562</v>
      </c>
      <c r="L29" s="18">
        <v>106</v>
      </c>
      <c r="M29" s="28" t="s">
        <v>92</v>
      </c>
      <c r="N29" s="20" t="s">
        <v>369</v>
      </c>
      <c r="O29" s="20"/>
      <c r="P29" s="20"/>
      <c r="Q29" s="20"/>
    </row>
    <row r="30" spans="1:17">
      <c r="A30" s="39"/>
      <c r="B30" s="39"/>
      <c r="C30" s="39"/>
      <c r="D30" s="39"/>
      <c r="E30" s="44" t="s">
        <v>640</v>
      </c>
      <c r="F30" s="39"/>
      <c r="G30" s="39"/>
      <c r="H30" s="45" t="s">
        <v>53</v>
      </c>
      <c r="I30" s="39" t="s">
        <v>402</v>
      </c>
      <c r="J30" s="39" t="s">
        <v>141</v>
      </c>
      <c r="K30" s="40" t="s">
        <v>78</v>
      </c>
      <c r="L30" s="39">
        <v>476</v>
      </c>
      <c r="M30" s="41" t="s">
        <v>92</v>
      </c>
      <c r="N30" s="46" t="s">
        <v>641</v>
      </c>
      <c r="O30" s="47"/>
      <c r="P30" s="46"/>
      <c r="Q30" s="46"/>
    </row>
    <row r="31" spans="1:17">
      <c r="A31" s="39"/>
      <c r="B31" s="39"/>
      <c r="C31" s="39"/>
      <c r="D31" s="39"/>
      <c r="E31" s="44" t="s">
        <v>642</v>
      </c>
      <c r="F31" s="39"/>
      <c r="G31" s="39"/>
      <c r="H31" s="45" t="s">
        <v>54</v>
      </c>
      <c r="I31" s="39" t="s">
        <v>536</v>
      </c>
      <c r="J31" s="39" t="s">
        <v>403</v>
      </c>
      <c r="K31" s="40" t="s">
        <v>562</v>
      </c>
      <c r="L31" s="39">
        <v>226</v>
      </c>
      <c r="M31" s="41" t="s">
        <v>92</v>
      </c>
      <c r="N31" s="46" t="s">
        <v>643</v>
      </c>
      <c r="O31" s="47"/>
      <c r="P31" s="46"/>
      <c r="Q31" s="46"/>
    </row>
  </sheetData>
  <autoFilter ref="A1:Q1" xr:uid="{AB6ABBEE-85FA-4210-89D4-A1A08781194D}">
    <sortState xmlns:xlrd2="http://schemas.microsoft.com/office/spreadsheetml/2017/richdata2" ref="A2:Q29">
      <sortCondition ref="H1"/>
    </sortState>
  </autoFilter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FB3D-B1A7-4362-B109-F06C2263EDD9}">
  <sheetPr codeName="工作表2"/>
  <dimension ref="A1:Q45"/>
  <sheetViews>
    <sheetView workbookViewId="0">
      <selection activeCell="D6" sqref="D6"/>
    </sheetView>
  </sheetViews>
  <sheetFormatPr defaultRowHeight="17"/>
  <cols>
    <col min="1" max="7" width="18.81640625" customWidth="1"/>
    <col min="8" max="8" width="21.54296875" bestFit="1" customWidth="1"/>
  </cols>
  <sheetData>
    <row r="1" spans="1:17">
      <c r="A1" s="7" t="s">
        <v>60</v>
      </c>
      <c r="B1" s="6" t="s">
        <v>59</v>
      </c>
      <c r="C1" s="6" t="s">
        <v>55</v>
      </c>
      <c r="D1" s="6" t="s">
        <v>130</v>
      </c>
      <c r="E1" s="6" t="s">
        <v>57</v>
      </c>
      <c r="F1" s="6" t="s">
        <v>56</v>
      </c>
      <c r="G1" s="6" t="s">
        <v>58</v>
      </c>
      <c r="H1" s="4" t="s">
        <v>559</v>
      </c>
      <c r="I1" s="4" t="s">
        <v>66</v>
      </c>
      <c r="J1" s="4" t="s">
        <v>69</v>
      </c>
      <c r="K1" s="29" t="s">
        <v>3</v>
      </c>
      <c r="L1" s="4" t="s">
        <v>67</v>
      </c>
      <c r="M1" s="4" t="s">
        <v>4</v>
      </c>
      <c r="N1" s="6" t="s">
        <v>68</v>
      </c>
    </row>
    <row r="2" spans="1:17" s="1" customFormat="1" ht="19.25" customHeight="1">
      <c r="A2" s="18"/>
      <c r="B2" s="18"/>
      <c r="C2" s="18" t="s">
        <v>661</v>
      </c>
      <c r="D2" s="18"/>
      <c r="E2" s="18" t="s">
        <v>159</v>
      </c>
      <c r="F2" s="18"/>
      <c r="G2" s="18"/>
      <c r="H2" s="19" t="s">
        <v>5</v>
      </c>
      <c r="I2" s="18" t="s">
        <v>147</v>
      </c>
      <c r="J2" s="18" t="s">
        <v>40</v>
      </c>
      <c r="K2" s="30" t="s">
        <v>562</v>
      </c>
      <c r="L2" s="18">
        <v>104</v>
      </c>
      <c r="M2" s="28" t="s">
        <v>92</v>
      </c>
      <c r="N2" s="20" t="s">
        <v>64</v>
      </c>
      <c r="O2" s="20"/>
      <c r="P2" s="20"/>
      <c r="Q2" s="20"/>
    </row>
    <row r="3" spans="1:17">
      <c r="A3" s="21" t="s">
        <v>157</v>
      </c>
      <c r="B3" s="18"/>
      <c r="C3" s="18"/>
      <c r="D3" s="18"/>
      <c r="E3" s="18" t="s">
        <v>156</v>
      </c>
      <c r="F3" s="18"/>
      <c r="G3" s="18"/>
      <c r="H3" s="19" t="s">
        <v>138</v>
      </c>
      <c r="I3" s="18" t="s">
        <v>71</v>
      </c>
      <c r="J3" s="18" t="s">
        <v>43</v>
      </c>
      <c r="K3" s="30" t="s">
        <v>78</v>
      </c>
      <c r="L3" s="18">
        <v>104</v>
      </c>
      <c r="M3" s="28" t="s">
        <v>20</v>
      </c>
      <c r="N3" s="20" t="s">
        <v>62</v>
      </c>
    </row>
    <row r="4" spans="1:17">
      <c r="A4" s="12"/>
      <c r="B4" s="12"/>
      <c r="C4" s="12" t="s">
        <v>74</v>
      </c>
      <c r="D4" s="12"/>
      <c r="E4" s="12"/>
      <c r="F4" s="12"/>
      <c r="G4" s="12"/>
      <c r="H4" s="13" t="s">
        <v>70</v>
      </c>
      <c r="I4" s="12" t="s">
        <v>71</v>
      </c>
      <c r="J4" s="14" t="s">
        <v>75</v>
      </c>
      <c r="K4" s="15" t="s">
        <v>73</v>
      </c>
      <c r="L4" s="12">
        <v>104</v>
      </c>
      <c r="M4" s="28" t="s">
        <v>20</v>
      </c>
      <c r="N4" s="16" t="s">
        <v>62</v>
      </c>
    </row>
    <row r="5" spans="1:17">
      <c r="A5" s="18"/>
      <c r="B5" s="18"/>
      <c r="C5" s="18" t="s">
        <v>172</v>
      </c>
      <c r="D5" s="18"/>
      <c r="E5" s="18" t="s">
        <v>171</v>
      </c>
      <c r="F5" s="18"/>
      <c r="G5" s="18"/>
      <c r="H5" s="19" t="s">
        <v>138</v>
      </c>
      <c r="I5" s="18" t="s">
        <v>71</v>
      </c>
      <c r="J5" s="18" t="s">
        <v>43</v>
      </c>
      <c r="K5" s="30" t="s">
        <v>78</v>
      </c>
      <c r="L5" s="18">
        <v>104</v>
      </c>
      <c r="M5" s="28" t="s">
        <v>20</v>
      </c>
      <c r="N5" s="20" t="s">
        <v>63</v>
      </c>
    </row>
    <row r="6" spans="1:17">
      <c r="A6" s="21" t="s">
        <v>155</v>
      </c>
      <c r="B6" s="18"/>
      <c r="C6" s="21" t="s">
        <v>154</v>
      </c>
      <c r="D6" s="18"/>
      <c r="E6" s="18" t="s">
        <v>153</v>
      </c>
      <c r="F6" s="18"/>
      <c r="G6" s="18"/>
      <c r="H6" s="19" t="s">
        <v>138</v>
      </c>
      <c r="I6" s="18" t="s">
        <v>71</v>
      </c>
      <c r="J6" s="18" t="s">
        <v>43</v>
      </c>
      <c r="K6" s="30" t="s">
        <v>78</v>
      </c>
      <c r="L6" s="18">
        <v>105</v>
      </c>
      <c r="M6" s="28" t="s">
        <v>20</v>
      </c>
      <c r="N6" s="20" t="s">
        <v>65</v>
      </c>
    </row>
    <row r="7" spans="1:17">
      <c r="A7" s="44" t="s">
        <v>570</v>
      </c>
      <c r="B7" s="39"/>
      <c r="C7" s="39" t="s">
        <v>379</v>
      </c>
      <c r="D7" s="39"/>
      <c r="E7" s="44" t="s">
        <v>137</v>
      </c>
      <c r="F7" s="39"/>
      <c r="G7" s="39"/>
      <c r="H7" s="45" t="s">
        <v>138</v>
      </c>
      <c r="I7" s="39" t="s">
        <v>71</v>
      </c>
      <c r="J7" s="39" t="s">
        <v>43</v>
      </c>
      <c r="K7" s="40" t="s">
        <v>78</v>
      </c>
      <c r="L7" s="39">
        <v>105</v>
      </c>
      <c r="M7" s="41" t="s">
        <v>39</v>
      </c>
      <c r="N7" s="46" t="s">
        <v>65</v>
      </c>
    </row>
    <row r="8" spans="1:17">
      <c r="A8" s="17" t="s">
        <v>542</v>
      </c>
      <c r="B8" s="12"/>
      <c r="C8" s="12" t="s">
        <v>84</v>
      </c>
      <c r="D8" s="12"/>
      <c r="E8" s="12" t="s">
        <v>85</v>
      </c>
      <c r="F8" s="12"/>
      <c r="G8" s="12"/>
      <c r="H8" s="13" t="s">
        <v>70</v>
      </c>
      <c r="I8" s="12" t="s">
        <v>71</v>
      </c>
      <c r="J8" s="14" t="s">
        <v>43</v>
      </c>
      <c r="K8" s="15" t="s">
        <v>79</v>
      </c>
      <c r="L8" s="12">
        <v>105</v>
      </c>
      <c r="M8" s="28" t="s">
        <v>44</v>
      </c>
      <c r="N8" s="16" t="s">
        <v>61</v>
      </c>
    </row>
    <row r="9" spans="1:17">
      <c r="A9" s="17" t="s">
        <v>127</v>
      </c>
      <c r="B9" s="12"/>
      <c r="C9" s="12" t="s">
        <v>205</v>
      </c>
      <c r="D9" s="12" t="s">
        <v>135</v>
      </c>
      <c r="E9" s="12" t="s">
        <v>128</v>
      </c>
      <c r="F9" s="12"/>
      <c r="G9" s="12"/>
      <c r="H9" s="13" t="s">
        <v>70</v>
      </c>
      <c r="I9" s="12" t="s">
        <v>71</v>
      </c>
      <c r="J9" s="14" t="s">
        <v>43</v>
      </c>
      <c r="K9" s="15" t="s">
        <v>78</v>
      </c>
      <c r="L9" s="12">
        <v>225</v>
      </c>
      <c r="M9" s="28" t="s">
        <v>44</v>
      </c>
      <c r="N9" s="16" t="s">
        <v>61</v>
      </c>
    </row>
    <row r="10" spans="1:17">
      <c r="A10" s="12"/>
      <c r="B10" s="12"/>
      <c r="C10" s="12" t="s">
        <v>94</v>
      </c>
      <c r="D10" s="12" t="s">
        <v>628</v>
      </c>
      <c r="E10" s="12" t="s">
        <v>95</v>
      </c>
      <c r="F10" s="12"/>
      <c r="G10" s="12"/>
      <c r="H10" s="13" t="s">
        <v>70</v>
      </c>
      <c r="I10" s="12" t="s">
        <v>71</v>
      </c>
      <c r="J10" s="14" t="s">
        <v>43</v>
      </c>
      <c r="K10" s="15" t="s">
        <v>78</v>
      </c>
      <c r="L10" s="12">
        <v>225</v>
      </c>
      <c r="M10" s="28" t="s">
        <v>44</v>
      </c>
      <c r="N10" s="16" t="s">
        <v>65</v>
      </c>
    </row>
    <row r="11" spans="1:17">
      <c r="A11" s="12"/>
      <c r="B11" s="12"/>
      <c r="C11" s="12"/>
      <c r="D11" s="12" t="s">
        <v>131</v>
      </c>
      <c r="E11" s="12"/>
      <c r="F11" s="12"/>
      <c r="G11" s="12"/>
      <c r="H11" s="13" t="s">
        <v>70</v>
      </c>
      <c r="I11" s="12"/>
      <c r="J11" s="14" t="s">
        <v>43</v>
      </c>
      <c r="K11" s="15" t="s">
        <v>78</v>
      </c>
      <c r="L11" s="12">
        <v>475</v>
      </c>
      <c r="M11" s="28" t="s">
        <v>44</v>
      </c>
      <c r="N11" s="16" t="s">
        <v>65</v>
      </c>
    </row>
    <row r="12" spans="1:17">
      <c r="A12" s="18"/>
      <c r="B12" s="18"/>
      <c r="C12" s="18" t="s">
        <v>96</v>
      </c>
      <c r="D12" s="18"/>
      <c r="E12" s="18"/>
      <c r="F12" s="18"/>
      <c r="G12" s="18"/>
      <c r="H12" s="13" t="s">
        <v>70</v>
      </c>
      <c r="I12" s="12" t="s">
        <v>71</v>
      </c>
      <c r="J12" s="14" t="s">
        <v>43</v>
      </c>
      <c r="K12" s="15" t="s">
        <v>78</v>
      </c>
      <c r="L12" s="12">
        <v>225</v>
      </c>
      <c r="M12" s="28" t="s">
        <v>631</v>
      </c>
      <c r="N12" s="16" t="s">
        <v>61</v>
      </c>
    </row>
    <row r="13" spans="1:17">
      <c r="A13" s="39" t="s">
        <v>136</v>
      </c>
      <c r="B13" s="39"/>
      <c r="C13" s="44" t="s">
        <v>549</v>
      </c>
      <c r="D13" s="39"/>
      <c r="E13" s="44" t="s">
        <v>617</v>
      </c>
      <c r="F13" s="39"/>
      <c r="G13" s="51" t="s">
        <v>618</v>
      </c>
      <c r="H13" s="45" t="s">
        <v>5</v>
      </c>
      <c r="I13" s="39" t="s">
        <v>6</v>
      </c>
      <c r="J13" s="39" t="s">
        <v>40</v>
      </c>
      <c r="K13" s="40" t="s">
        <v>562</v>
      </c>
      <c r="L13" s="39">
        <v>104</v>
      </c>
      <c r="M13" s="41" t="s">
        <v>20</v>
      </c>
      <c r="N13" s="46" t="s">
        <v>62</v>
      </c>
    </row>
    <row r="14" spans="1:17">
      <c r="A14" s="39" t="s">
        <v>545</v>
      </c>
      <c r="B14" s="39"/>
      <c r="C14" s="39" t="s">
        <v>609</v>
      </c>
      <c r="D14" s="39"/>
      <c r="E14" s="44" t="s">
        <v>378</v>
      </c>
      <c r="F14" s="39"/>
      <c r="G14" s="52" t="s">
        <v>630</v>
      </c>
      <c r="H14" s="45" t="s">
        <v>89</v>
      </c>
      <c r="I14" s="39" t="s">
        <v>147</v>
      </c>
      <c r="J14" s="39" t="s">
        <v>141</v>
      </c>
      <c r="K14" s="40" t="s">
        <v>78</v>
      </c>
      <c r="L14" s="39">
        <v>105</v>
      </c>
      <c r="M14" s="41" t="s">
        <v>92</v>
      </c>
      <c r="N14" s="46" t="s">
        <v>364</v>
      </c>
    </row>
    <row r="15" spans="1:17">
      <c r="A15" s="39" t="s">
        <v>538</v>
      </c>
      <c r="B15" s="39"/>
      <c r="C15" s="39" t="s">
        <v>271</v>
      </c>
      <c r="D15" s="39"/>
      <c r="E15" s="44" t="s">
        <v>557</v>
      </c>
      <c r="F15" s="39"/>
      <c r="G15" s="39"/>
      <c r="H15" s="45" t="s">
        <v>89</v>
      </c>
      <c r="I15" s="39" t="s">
        <v>147</v>
      </c>
      <c r="J15" s="39" t="s">
        <v>141</v>
      </c>
      <c r="K15" s="40" t="s">
        <v>78</v>
      </c>
      <c r="L15" s="39">
        <v>105</v>
      </c>
      <c r="M15" s="41" t="s">
        <v>92</v>
      </c>
      <c r="N15" s="46" t="s">
        <v>367</v>
      </c>
    </row>
    <row r="16" spans="1:17">
      <c r="A16" s="18" t="s">
        <v>399</v>
      </c>
      <c r="B16" s="18"/>
      <c r="C16" s="18"/>
      <c r="D16" s="18"/>
      <c r="E16" s="18" t="s">
        <v>151</v>
      </c>
      <c r="F16" s="18"/>
      <c r="G16" s="18"/>
      <c r="H16" s="19" t="s">
        <v>5</v>
      </c>
      <c r="I16" s="18" t="s">
        <v>147</v>
      </c>
      <c r="J16" s="18" t="s">
        <v>141</v>
      </c>
      <c r="K16" s="30" t="s">
        <v>78</v>
      </c>
      <c r="L16" s="18">
        <v>105</v>
      </c>
      <c r="M16" s="28" t="s">
        <v>92</v>
      </c>
      <c r="N16" s="20" t="s">
        <v>63</v>
      </c>
    </row>
    <row r="17" spans="1:17">
      <c r="A17" s="12"/>
      <c r="B17" s="12"/>
      <c r="C17" s="12" t="s">
        <v>99</v>
      </c>
      <c r="D17" s="12"/>
      <c r="E17" s="12"/>
      <c r="F17" s="12"/>
      <c r="G17" s="12"/>
      <c r="H17" s="13" t="s">
        <v>89</v>
      </c>
      <c r="I17" s="12" t="s">
        <v>6</v>
      </c>
      <c r="J17" s="14" t="s">
        <v>43</v>
      </c>
      <c r="K17" s="15" t="s">
        <v>78</v>
      </c>
      <c r="L17" s="12">
        <v>105</v>
      </c>
      <c r="M17" s="28" t="s">
        <v>20</v>
      </c>
      <c r="N17" s="16" t="s">
        <v>64</v>
      </c>
    </row>
    <row r="18" spans="1:17">
      <c r="A18" s="39" t="s">
        <v>552</v>
      </c>
      <c r="B18" s="39"/>
      <c r="C18" s="39" t="s">
        <v>272</v>
      </c>
      <c r="D18" s="39"/>
      <c r="E18" s="44" t="s">
        <v>556</v>
      </c>
      <c r="F18" s="39"/>
      <c r="G18" s="51" t="s">
        <v>624</v>
      </c>
      <c r="H18" s="45" t="s">
        <v>89</v>
      </c>
      <c r="I18" s="39" t="s">
        <v>147</v>
      </c>
      <c r="J18" s="39" t="s">
        <v>141</v>
      </c>
      <c r="K18" s="40" t="s">
        <v>78</v>
      </c>
      <c r="L18" s="39">
        <v>105</v>
      </c>
      <c r="M18" s="41" t="s">
        <v>92</v>
      </c>
      <c r="N18" s="46" t="s">
        <v>361</v>
      </c>
    </row>
    <row r="19" spans="1:17">
      <c r="A19" s="18" t="s">
        <v>144</v>
      </c>
      <c r="B19" s="18"/>
      <c r="C19" s="18" t="s">
        <v>593</v>
      </c>
      <c r="D19" s="18"/>
      <c r="E19" s="18" t="s">
        <v>8</v>
      </c>
      <c r="F19" s="18"/>
      <c r="G19" s="18"/>
      <c r="H19" s="19" t="s">
        <v>5</v>
      </c>
      <c r="I19" s="18" t="s">
        <v>6</v>
      </c>
      <c r="J19" s="18" t="s">
        <v>43</v>
      </c>
      <c r="K19" s="30" t="s">
        <v>78</v>
      </c>
      <c r="L19" s="18">
        <v>225</v>
      </c>
      <c r="M19" s="28" t="s">
        <v>20</v>
      </c>
      <c r="N19" s="20" t="s">
        <v>61</v>
      </c>
    </row>
    <row r="20" spans="1:17">
      <c r="A20" s="18"/>
      <c r="B20" s="18"/>
      <c r="C20" s="18" t="s">
        <v>211</v>
      </c>
      <c r="D20" s="18"/>
      <c r="E20" s="18"/>
      <c r="F20" s="18"/>
      <c r="G20" s="18"/>
      <c r="H20" s="19" t="s">
        <v>89</v>
      </c>
      <c r="I20" s="18" t="s">
        <v>147</v>
      </c>
      <c r="J20" s="18" t="s">
        <v>368</v>
      </c>
      <c r="K20" s="30" t="s">
        <v>562</v>
      </c>
      <c r="L20" s="18">
        <v>225</v>
      </c>
      <c r="M20" s="28" t="s">
        <v>44</v>
      </c>
      <c r="N20" s="20" t="s">
        <v>364</v>
      </c>
    </row>
    <row r="21" spans="1:17">
      <c r="A21" s="18" t="s">
        <v>145</v>
      </c>
      <c r="B21" s="18"/>
      <c r="C21" s="18"/>
      <c r="D21" s="18"/>
      <c r="E21" s="18"/>
      <c r="F21" s="18"/>
      <c r="G21" s="18"/>
      <c r="H21" s="19" t="s">
        <v>5</v>
      </c>
      <c r="I21" s="18" t="s">
        <v>147</v>
      </c>
      <c r="J21" s="18" t="s">
        <v>141</v>
      </c>
      <c r="K21" s="30" t="s">
        <v>78</v>
      </c>
      <c r="L21" s="18">
        <v>225</v>
      </c>
      <c r="M21" s="28" t="s">
        <v>92</v>
      </c>
      <c r="N21" s="20" t="s">
        <v>62</v>
      </c>
    </row>
    <row r="22" spans="1:17">
      <c r="A22" s="12" t="s">
        <v>546</v>
      </c>
      <c r="B22" s="12"/>
      <c r="C22" s="12" t="s">
        <v>101</v>
      </c>
      <c r="D22" s="12"/>
      <c r="E22" s="12" t="s">
        <v>103</v>
      </c>
      <c r="F22" s="12"/>
      <c r="G22" s="12"/>
      <c r="H22" s="13" t="s">
        <v>89</v>
      </c>
      <c r="I22" s="12" t="s">
        <v>6</v>
      </c>
      <c r="J22" s="14" t="s">
        <v>43</v>
      </c>
      <c r="K22" s="15" t="s">
        <v>78</v>
      </c>
      <c r="L22" s="12">
        <v>225</v>
      </c>
      <c r="M22" s="28" t="s">
        <v>20</v>
      </c>
      <c r="N22" s="16" t="s">
        <v>63</v>
      </c>
    </row>
    <row r="23" spans="1:17">
      <c r="A23" s="18"/>
      <c r="B23" s="18"/>
      <c r="C23" s="18" t="s">
        <v>215</v>
      </c>
      <c r="D23" s="18"/>
      <c r="E23" s="18"/>
      <c r="F23" s="18"/>
      <c r="G23" s="18"/>
      <c r="H23" s="19" t="s">
        <v>89</v>
      </c>
      <c r="I23" s="18" t="s">
        <v>147</v>
      </c>
      <c r="J23" s="18" t="s">
        <v>363</v>
      </c>
      <c r="K23" s="30" t="s">
        <v>359</v>
      </c>
      <c r="L23" s="18">
        <v>225</v>
      </c>
      <c r="M23" s="28" t="s">
        <v>92</v>
      </c>
      <c r="N23" s="20" t="s">
        <v>361</v>
      </c>
    </row>
    <row r="24" spans="1:17">
      <c r="A24" s="39"/>
      <c r="B24" s="39"/>
      <c r="C24" s="39" t="s">
        <v>240</v>
      </c>
      <c r="D24" s="39"/>
      <c r="E24" s="39" t="s">
        <v>610</v>
      </c>
      <c r="F24" s="39"/>
      <c r="G24" s="39"/>
      <c r="H24" s="45" t="s">
        <v>89</v>
      </c>
      <c r="I24" s="39" t="s">
        <v>147</v>
      </c>
      <c r="J24" s="39" t="s">
        <v>141</v>
      </c>
      <c r="K24" s="40" t="s">
        <v>78</v>
      </c>
      <c r="L24" s="39">
        <v>225</v>
      </c>
      <c r="M24" s="41" t="s">
        <v>44</v>
      </c>
      <c r="N24" s="46" t="s">
        <v>361</v>
      </c>
    </row>
    <row r="25" spans="1:17">
      <c r="A25" s="18"/>
      <c r="B25" s="18"/>
      <c r="C25" s="18"/>
      <c r="D25" s="18" t="s">
        <v>189</v>
      </c>
      <c r="E25" s="18"/>
      <c r="F25" s="18"/>
      <c r="G25" s="18"/>
      <c r="H25" s="19" t="s">
        <v>5</v>
      </c>
      <c r="I25" s="18"/>
      <c r="J25" s="18" t="s">
        <v>43</v>
      </c>
      <c r="K25" s="30" t="s">
        <v>78</v>
      </c>
      <c r="L25" s="18">
        <v>226</v>
      </c>
      <c r="M25" s="28" t="s">
        <v>39</v>
      </c>
      <c r="N25" s="20" t="s">
        <v>190</v>
      </c>
    </row>
    <row r="26" spans="1:17">
      <c r="A26" s="18" t="s">
        <v>187</v>
      </c>
      <c r="B26" s="18"/>
      <c r="C26" s="18"/>
      <c r="D26" s="18"/>
      <c r="E26" s="18"/>
      <c r="F26" s="18"/>
      <c r="G26" s="18"/>
      <c r="H26" s="13" t="s">
        <v>89</v>
      </c>
      <c r="I26" s="12" t="s">
        <v>6</v>
      </c>
      <c r="J26" s="14" t="s">
        <v>43</v>
      </c>
      <c r="K26" s="15" t="s">
        <v>78</v>
      </c>
      <c r="L26" s="12">
        <v>475</v>
      </c>
      <c r="M26" s="28" t="s">
        <v>44</v>
      </c>
      <c r="N26" s="16" t="s">
        <v>62</v>
      </c>
    </row>
    <row r="27" spans="1:17">
      <c r="A27" s="43" t="s">
        <v>540</v>
      </c>
      <c r="B27" s="37"/>
      <c r="C27" s="37" t="s">
        <v>572</v>
      </c>
      <c r="D27" s="37"/>
      <c r="E27" s="43" t="s">
        <v>7</v>
      </c>
      <c r="F27" s="37" t="s">
        <v>51</v>
      </c>
      <c r="G27" s="37"/>
      <c r="H27" s="38" t="s">
        <v>89</v>
      </c>
      <c r="I27" s="37" t="s">
        <v>6</v>
      </c>
      <c r="J27" s="48" t="s">
        <v>43</v>
      </c>
      <c r="K27" s="49" t="s">
        <v>78</v>
      </c>
      <c r="L27" s="37">
        <v>475</v>
      </c>
      <c r="M27" s="41" t="s">
        <v>44</v>
      </c>
      <c r="N27" s="42" t="s">
        <v>65</v>
      </c>
    </row>
    <row r="28" spans="1:17">
      <c r="A28" s="43" t="s">
        <v>578</v>
      </c>
      <c r="B28" s="37"/>
      <c r="C28" s="37" t="s">
        <v>577</v>
      </c>
      <c r="D28" s="37"/>
      <c r="E28" s="43" t="s">
        <v>106</v>
      </c>
      <c r="F28" s="37"/>
      <c r="G28" s="37"/>
      <c r="H28" s="38" t="s">
        <v>89</v>
      </c>
      <c r="I28" s="37" t="s">
        <v>6</v>
      </c>
      <c r="J28" s="48" t="s">
        <v>43</v>
      </c>
      <c r="K28" s="49" t="s">
        <v>78</v>
      </c>
      <c r="L28" s="37">
        <v>106</v>
      </c>
      <c r="M28" s="41" t="s">
        <v>44</v>
      </c>
      <c r="N28" s="42" t="s">
        <v>65</v>
      </c>
      <c r="O28" s="37"/>
      <c r="P28" s="37"/>
      <c r="Q28" s="37"/>
    </row>
    <row r="29" spans="1:17">
      <c r="A29" s="17" t="s">
        <v>88</v>
      </c>
      <c r="B29" s="18"/>
      <c r="C29" s="18" t="s">
        <v>265</v>
      </c>
      <c r="D29" s="18"/>
      <c r="E29" s="18" t="s">
        <v>409</v>
      </c>
      <c r="F29" s="18"/>
      <c r="G29" s="18"/>
      <c r="H29" s="19" t="s">
        <v>89</v>
      </c>
      <c r="I29" s="18" t="s">
        <v>147</v>
      </c>
      <c r="J29" s="18" t="s">
        <v>141</v>
      </c>
      <c r="K29" s="30" t="s">
        <v>78</v>
      </c>
      <c r="L29" s="18">
        <v>106</v>
      </c>
      <c r="M29" s="28" t="s">
        <v>44</v>
      </c>
      <c r="N29" s="20" t="s">
        <v>364</v>
      </c>
      <c r="O29" s="20"/>
      <c r="P29" s="20"/>
      <c r="Q29" s="20"/>
    </row>
    <row r="30" spans="1:17">
      <c r="A30" s="39"/>
      <c r="B30" s="39"/>
      <c r="C30" s="39"/>
      <c r="D30" s="39"/>
      <c r="E30" s="44" t="s">
        <v>21</v>
      </c>
      <c r="F30" s="39"/>
      <c r="G30" s="44" t="s">
        <v>26</v>
      </c>
      <c r="H30" s="45" t="s">
        <v>10</v>
      </c>
      <c r="I30" s="39" t="s">
        <v>11</v>
      </c>
      <c r="J30" s="39" t="s">
        <v>40</v>
      </c>
      <c r="K30" s="40" t="s">
        <v>562</v>
      </c>
      <c r="L30" s="39">
        <v>104</v>
      </c>
      <c r="M30" s="41" t="s">
        <v>20</v>
      </c>
      <c r="N30" s="46" t="s">
        <v>64</v>
      </c>
    </row>
    <row r="31" spans="1:17">
      <c r="A31" s="39"/>
      <c r="B31" s="39"/>
      <c r="C31" s="39" t="s">
        <v>169</v>
      </c>
      <c r="D31" s="39"/>
      <c r="E31" s="44" t="s">
        <v>168</v>
      </c>
      <c r="F31" s="39"/>
      <c r="G31" s="51" t="s">
        <v>620</v>
      </c>
      <c r="H31" s="45" t="s">
        <v>108</v>
      </c>
      <c r="I31" s="39" t="s">
        <v>11</v>
      </c>
      <c r="J31" s="39" t="s">
        <v>141</v>
      </c>
      <c r="K31" s="40" t="s">
        <v>78</v>
      </c>
      <c r="L31" s="39">
        <v>105</v>
      </c>
      <c r="M31" s="41" t="s">
        <v>20</v>
      </c>
      <c r="N31" s="46" t="s">
        <v>63</v>
      </c>
    </row>
    <row r="32" spans="1:17">
      <c r="A32" s="18"/>
      <c r="B32" s="18"/>
      <c r="C32" s="18" t="s">
        <v>162</v>
      </c>
      <c r="D32" s="18"/>
      <c r="E32" s="18" t="s">
        <v>49</v>
      </c>
      <c r="F32" s="18" t="s">
        <v>50</v>
      </c>
      <c r="G32" s="18"/>
      <c r="H32" s="19" t="s">
        <v>10</v>
      </c>
      <c r="I32" s="18" t="s">
        <v>11</v>
      </c>
      <c r="J32" s="18" t="s">
        <v>40</v>
      </c>
      <c r="K32" s="30" t="s">
        <v>562</v>
      </c>
      <c r="L32" s="18">
        <v>105</v>
      </c>
      <c r="M32" s="28" t="s">
        <v>20</v>
      </c>
      <c r="N32" s="20" t="s">
        <v>63</v>
      </c>
    </row>
    <row r="33" spans="1:14">
      <c r="A33" s="18"/>
      <c r="B33" s="18"/>
      <c r="C33" s="21" t="s">
        <v>551</v>
      </c>
      <c r="D33" s="18"/>
      <c r="E33" s="18"/>
      <c r="F33" s="18"/>
      <c r="G33" s="18"/>
      <c r="H33" s="13" t="s">
        <v>108</v>
      </c>
      <c r="I33" s="12" t="s">
        <v>371</v>
      </c>
      <c r="J33" s="18" t="s">
        <v>40</v>
      </c>
      <c r="K33" s="30" t="s">
        <v>562</v>
      </c>
      <c r="L33" s="18">
        <v>225</v>
      </c>
      <c r="M33" s="28" t="s">
        <v>92</v>
      </c>
      <c r="N33" s="20" t="s">
        <v>364</v>
      </c>
    </row>
    <row r="34" spans="1:14">
      <c r="A34" s="18" t="s">
        <v>186</v>
      </c>
      <c r="B34" s="18"/>
      <c r="C34" s="18" t="s">
        <v>315</v>
      </c>
      <c r="D34" s="18"/>
      <c r="E34" s="18" t="s">
        <v>405</v>
      </c>
      <c r="F34" s="18"/>
      <c r="G34" s="18"/>
      <c r="H34" s="19" t="s">
        <v>108</v>
      </c>
      <c r="I34" s="18" t="s">
        <v>371</v>
      </c>
      <c r="J34" s="18" t="s">
        <v>141</v>
      </c>
      <c r="K34" s="30" t="s">
        <v>78</v>
      </c>
      <c r="L34" s="18">
        <v>225</v>
      </c>
      <c r="M34" s="28" t="s">
        <v>92</v>
      </c>
      <c r="N34" s="20" t="s">
        <v>367</v>
      </c>
    </row>
    <row r="35" spans="1:14">
      <c r="A35" s="18"/>
      <c r="B35" s="18"/>
      <c r="C35" s="21" t="s">
        <v>553</v>
      </c>
      <c r="D35" s="18"/>
      <c r="E35" s="18" t="s">
        <v>158</v>
      </c>
      <c r="F35" s="18"/>
      <c r="G35" s="18"/>
      <c r="H35" s="19" t="s">
        <v>108</v>
      </c>
      <c r="I35" s="18" t="s">
        <v>11</v>
      </c>
      <c r="J35" s="18" t="s">
        <v>141</v>
      </c>
      <c r="K35" s="30" t="s">
        <v>78</v>
      </c>
      <c r="L35" s="18">
        <v>225</v>
      </c>
      <c r="M35" s="28" t="s">
        <v>20</v>
      </c>
      <c r="N35" s="20" t="s">
        <v>63</v>
      </c>
    </row>
    <row r="36" spans="1:14">
      <c r="A36" s="12"/>
      <c r="B36" s="12"/>
      <c r="C36" s="12" t="s">
        <v>107</v>
      </c>
      <c r="D36" s="12"/>
      <c r="E36" s="12"/>
      <c r="F36" s="12"/>
      <c r="G36" s="12"/>
      <c r="H36" s="13" t="s">
        <v>108</v>
      </c>
      <c r="I36" s="12" t="s">
        <v>11</v>
      </c>
      <c r="J36" s="14" t="s">
        <v>43</v>
      </c>
      <c r="K36" s="15" t="s">
        <v>78</v>
      </c>
      <c r="L36" s="12">
        <v>225</v>
      </c>
      <c r="M36" s="28" t="s">
        <v>92</v>
      </c>
      <c r="N36" s="16" t="s">
        <v>64</v>
      </c>
    </row>
    <row r="37" spans="1:14">
      <c r="A37" s="18" t="s">
        <v>188</v>
      </c>
      <c r="B37" s="18"/>
      <c r="C37" s="18"/>
      <c r="D37" s="18"/>
      <c r="E37" s="18" t="s">
        <v>560</v>
      </c>
      <c r="F37" s="18"/>
      <c r="G37" s="18"/>
      <c r="H37" s="19" t="s">
        <v>10</v>
      </c>
      <c r="I37" s="18" t="s">
        <v>11</v>
      </c>
      <c r="J37" s="18" t="s">
        <v>43</v>
      </c>
      <c r="K37" s="30" t="s">
        <v>78</v>
      </c>
      <c r="L37" s="18">
        <v>226</v>
      </c>
      <c r="M37" s="28" t="s">
        <v>44</v>
      </c>
      <c r="N37" s="20" t="s">
        <v>61</v>
      </c>
    </row>
    <row r="38" spans="1:14">
      <c r="A38" s="39" t="s">
        <v>544</v>
      </c>
      <c r="B38" s="39"/>
      <c r="C38" s="39" t="s">
        <v>327</v>
      </c>
      <c r="D38" s="39"/>
      <c r="E38" s="50" t="s">
        <v>543</v>
      </c>
      <c r="F38" s="39"/>
      <c r="G38" s="39"/>
      <c r="H38" s="45" t="s">
        <v>108</v>
      </c>
      <c r="I38" s="39" t="s">
        <v>371</v>
      </c>
      <c r="J38" s="39" t="s">
        <v>141</v>
      </c>
      <c r="K38" s="40" t="s">
        <v>78</v>
      </c>
      <c r="L38" s="39">
        <v>475</v>
      </c>
      <c r="M38" s="41" t="s">
        <v>92</v>
      </c>
      <c r="N38" s="46" t="s">
        <v>364</v>
      </c>
    </row>
    <row r="39" spans="1:14">
      <c r="A39" s="39"/>
      <c r="B39" s="39"/>
      <c r="C39" s="39" t="s">
        <v>612</v>
      </c>
      <c r="D39" s="39"/>
      <c r="E39" s="50" t="s">
        <v>613</v>
      </c>
      <c r="F39" s="39"/>
      <c r="G39" s="39"/>
      <c r="H39" s="45" t="s">
        <v>108</v>
      </c>
      <c r="I39" s="39" t="s">
        <v>371</v>
      </c>
      <c r="J39" s="39" t="s">
        <v>141</v>
      </c>
      <c r="K39" s="40" t="s">
        <v>78</v>
      </c>
      <c r="L39" s="39">
        <v>475</v>
      </c>
      <c r="M39" s="41" t="s">
        <v>92</v>
      </c>
      <c r="N39" s="46" t="s">
        <v>361</v>
      </c>
    </row>
    <row r="40" spans="1:14">
      <c r="A40" s="18" t="s">
        <v>657</v>
      </c>
      <c r="B40" s="18"/>
      <c r="C40" s="18" t="s">
        <v>574</v>
      </c>
      <c r="D40" s="18"/>
      <c r="E40" s="18" t="s">
        <v>411</v>
      </c>
      <c r="F40" s="18"/>
      <c r="G40" s="18"/>
      <c r="H40" s="13" t="s">
        <v>108</v>
      </c>
      <c r="I40" s="12" t="s">
        <v>371</v>
      </c>
      <c r="J40" s="18" t="s">
        <v>43</v>
      </c>
      <c r="K40" s="30" t="s">
        <v>78</v>
      </c>
      <c r="L40" s="18">
        <v>106</v>
      </c>
      <c r="M40" s="28" t="s">
        <v>92</v>
      </c>
      <c r="N40" s="20" t="s">
        <v>61</v>
      </c>
    </row>
    <row r="41" spans="1:14">
      <c r="A41" s="39"/>
      <c r="B41" s="39"/>
      <c r="C41" s="39" t="s">
        <v>296</v>
      </c>
      <c r="D41" s="39"/>
      <c r="E41" s="44" t="s">
        <v>565</v>
      </c>
      <c r="F41" s="39"/>
      <c r="G41" s="39"/>
      <c r="H41" s="45" t="s">
        <v>108</v>
      </c>
      <c r="I41" s="39" t="s">
        <v>371</v>
      </c>
      <c r="J41" s="39" t="s">
        <v>141</v>
      </c>
      <c r="K41" s="40" t="s">
        <v>78</v>
      </c>
      <c r="L41" s="39">
        <v>106</v>
      </c>
      <c r="M41" s="41" t="s">
        <v>44</v>
      </c>
      <c r="N41" s="46" t="s">
        <v>364</v>
      </c>
    </row>
    <row r="42" spans="1:14">
      <c r="A42" s="18" t="s">
        <v>188</v>
      </c>
      <c r="B42" s="18"/>
      <c r="C42" s="18"/>
      <c r="D42" s="18"/>
      <c r="E42" s="18" t="s">
        <v>560</v>
      </c>
      <c r="F42" s="18"/>
      <c r="G42" s="18"/>
      <c r="H42" s="19" t="s">
        <v>10</v>
      </c>
      <c r="I42" s="18" t="s">
        <v>11</v>
      </c>
      <c r="J42" s="18" t="s">
        <v>43</v>
      </c>
      <c r="K42" s="30" t="s">
        <v>78</v>
      </c>
      <c r="L42" s="18">
        <v>226</v>
      </c>
      <c r="M42" s="28" t="s">
        <v>44</v>
      </c>
      <c r="N42" s="20" t="s">
        <v>61</v>
      </c>
    </row>
    <row r="43" spans="1:14">
      <c r="A43" s="9"/>
      <c r="B43" s="9"/>
      <c r="C43" s="9" t="s">
        <v>311</v>
      </c>
      <c r="D43" s="9"/>
      <c r="E43" s="9" t="s">
        <v>47</v>
      </c>
      <c r="F43" s="9"/>
      <c r="G43" s="9"/>
      <c r="H43" s="10" t="s">
        <v>108</v>
      </c>
      <c r="I43" s="9" t="s">
        <v>371</v>
      </c>
      <c r="J43" s="9" t="s">
        <v>141</v>
      </c>
      <c r="K43" s="31" t="s">
        <v>78</v>
      </c>
      <c r="L43" s="9">
        <v>226</v>
      </c>
      <c r="M43" s="24" t="s">
        <v>44</v>
      </c>
      <c r="N43" s="11" t="s">
        <v>361</v>
      </c>
    </row>
    <row r="44" spans="1:14">
      <c r="A44" s="18" t="s">
        <v>148</v>
      </c>
      <c r="B44" s="18"/>
      <c r="C44" s="18"/>
      <c r="D44" s="18"/>
      <c r="E44" s="18"/>
      <c r="F44" s="18"/>
      <c r="G44" s="18"/>
      <c r="H44" s="19" t="s">
        <v>108</v>
      </c>
      <c r="I44" s="18" t="s">
        <v>11</v>
      </c>
      <c r="J44" s="18" t="s">
        <v>141</v>
      </c>
      <c r="K44" s="30" t="s">
        <v>78</v>
      </c>
      <c r="L44" s="18">
        <v>476</v>
      </c>
      <c r="M44" s="28" t="s">
        <v>44</v>
      </c>
      <c r="N44" s="20" t="s">
        <v>149</v>
      </c>
    </row>
    <row r="45" spans="1:14">
      <c r="A45" s="12"/>
      <c r="B45" s="12"/>
      <c r="C45" s="12"/>
      <c r="D45" s="12" t="s">
        <v>132</v>
      </c>
      <c r="E45" s="12"/>
      <c r="F45" s="12"/>
      <c r="G45" s="12"/>
      <c r="H45" s="13" t="s">
        <v>108</v>
      </c>
      <c r="I45" s="18" t="s">
        <v>11</v>
      </c>
      <c r="J45" s="14" t="s">
        <v>43</v>
      </c>
      <c r="K45" s="15" t="s">
        <v>78</v>
      </c>
      <c r="L45" s="12">
        <v>476</v>
      </c>
      <c r="M45" s="28" t="s">
        <v>44</v>
      </c>
      <c r="N45" s="16" t="s">
        <v>65</v>
      </c>
    </row>
  </sheetData>
  <autoFilter ref="A1:Q1" xr:uid="{6DE5217A-301A-4B43-9DA3-94E8D4B54FED}"/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1FA1-837F-4DA1-AC6A-FB907FBB0C60}">
  <sheetPr codeName="工作表1"/>
  <dimension ref="A1:Q437"/>
  <sheetViews>
    <sheetView tabSelected="1" zoomScale="85" zoomScaleNormal="85" workbookViewId="0">
      <pane ySplit="1" topLeftCell="A133" activePane="bottomLeft" state="frozen"/>
      <selection pane="bottomLeft" activeCell="H138" sqref="H138"/>
    </sheetView>
  </sheetViews>
  <sheetFormatPr defaultColWidth="8.90625" defaultRowHeight="19.75" customHeight="1"/>
  <cols>
    <col min="1" max="1" width="20.1796875" style="2" customWidth="1"/>
    <col min="2" max="2" width="7.90625" style="2" hidden="1" customWidth="1"/>
    <col min="3" max="5" width="20.1796875" style="2" customWidth="1"/>
    <col min="6" max="6" width="19.36328125" style="2" customWidth="1"/>
    <col min="7" max="7" width="20.1796875" style="2" customWidth="1"/>
    <col min="8" max="8" width="17.08984375" style="3" customWidth="1"/>
    <col min="9" max="9" width="10.6328125" style="2" customWidth="1"/>
    <col min="10" max="10" width="7.54296875" style="2" customWidth="1"/>
    <col min="11" max="11" width="12.36328125" style="3" customWidth="1"/>
    <col min="12" max="12" width="7" style="2" customWidth="1"/>
    <col min="13" max="13" width="8.90625" style="2"/>
    <col min="14" max="14" width="6.6328125" style="1" customWidth="1"/>
    <col min="15" max="15" width="11.08984375" style="35" customWidth="1"/>
    <col min="16" max="17" width="8.90625" style="1"/>
    <col min="18" max="18" width="9" style="1" customWidth="1"/>
    <col min="19" max="16384" width="8.90625" style="1"/>
  </cols>
  <sheetData>
    <row r="1" spans="1:17" ht="21" customHeight="1">
      <c r="A1" s="7" t="s">
        <v>60</v>
      </c>
      <c r="B1" s="6" t="s">
        <v>59</v>
      </c>
      <c r="C1" s="6" t="s">
        <v>55</v>
      </c>
      <c r="D1" s="6" t="s">
        <v>130</v>
      </c>
      <c r="E1" s="6" t="s">
        <v>57</v>
      </c>
      <c r="F1" s="6" t="s">
        <v>56</v>
      </c>
      <c r="G1" s="6" t="s">
        <v>58</v>
      </c>
      <c r="H1" s="4" t="s">
        <v>627</v>
      </c>
      <c r="I1" s="4" t="s">
        <v>66</v>
      </c>
      <c r="J1" s="4" t="s">
        <v>69</v>
      </c>
      <c r="K1" s="29" t="s">
        <v>3</v>
      </c>
      <c r="L1" s="4" t="s">
        <v>67</v>
      </c>
      <c r="M1" s="4" t="s">
        <v>4</v>
      </c>
      <c r="N1" s="6" t="s">
        <v>68</v>
      </c>
      <c r="O1" s="32" t="s">
        <v>2</v>
      </c>
      <c r="P1" s="4" t="s">
        <v>0</v>
      </c>
      <c r="Q1" s="4" t="s">
        <v>1</v>
      </c>
    </row>
    <row r="2" spans="1:17" ht="21" customHeight="1">
      <c r="A2" s="7"/>
      <c r="B2" s="6"/>
      <c r="C2" s="6" t="s">
        <v>863</v>
      </c>
      <c r="D2" s="6"/>
      <c r="E2" s="6"/>
      <c r="F2" s="6"/>
      <c r="G2" s="6"/>
      <c r="H2" s="4" t="s">
        <v>138</v>
      </c>
      <c r="I2" s="4" t="s">
        <v>362</v>
      </c>
      <c r="J2" s="4" t="s">
        <v>865</v>
      </c>
      <c r="K2" s="29" t="s">
        <v>562</v>
      </c>
      <c r="L2" s="4" t="s">
        <v>866</v>
      </c>
      <c r="M2" s="4" t="s">
        <v>846</v>
      </c>
      <c r="N2" s="6" t="s">
        <v>375</v>
      </c>
      <c r="O2" s="32"/>
      <c r="P2" s="4"/>
      <c r="Q2" s="4"/>
    </row>
    <row r="3" spans="1:17" ht="21" customHeight="1">
      <c r="A3" s="7"/>
      <c r="B3" s="6"/>
      <c r="C3" s="6" t="s">
        <v>864</v>
      </c>
      <c r="D3" s="6"/>
      <c r="E3" s="6"/>
      <c r="F3" s="6"/>
      <c r="G3" s="6"/>
      <c r="H3" s="4" t="s">
        <v>138</v>
      </c>
      <c r="I3" s="4" t="s">
        <v>362</v>
      </c>
      <c r="J3" s="4" t="s">
        <v>865</v>
      </c>
      <c r="K3" s="29" t="s">
        <v>562</v>
      </c>
      <c r="L3" s="4" t="s">
        <v>867</v>
      </c>
      <c r="M3" s="4" t="s">
        <v>846</v>
      </c>
      <c r="N3" s="6" t="s">
        <v>375</v>
      </c>
      <c r="O3" s="32"/>
      <c r="P3" s="4"/>
      <c r="Q3" s="4"/>
    </row>
    <row r="4" spans="1:17" ht="18.649999999999999" customHeight="1">
      <c r="A4" s="18"/>
      <c r="B4" s="18"/>
      <c r="C4" s="18" t="s">
        <v>879</v>
      </c>
      <c r="D4" s="18"/>
      <c r="E4" s="18" t="s">
        <v>767</v>
      </c>
      <c r="F4" s="18"/>
      <c r="G4" s="18"/>
      <c r="H4" s="19" t="s">
        <v>138</v>
      </c>
      <c r="I4" s="18" t="s">
        <v>362</v>
      </c>
      <c r="J4" s="18" t="s">
        <v>41</v>
      </c>
      <c r="K4" s="30" t="s">
        <v>562</v>
      </c>
      <c r="L4" s="18">
        <v>101</v>
      </c>
      <c r="M4" s="28" t="s">
        <v>22</v>
      </c>
      <c r="N4" s="20" t="s">
        <v>64</v>
      </c>
      <c r="O4" s="33"/>
      <c r="P4" s="20"/>
      <c r="Q4" s="20"/>
    </row>
    <row r="5" spans="1:17" ht="18.649999999999999" customHeight="1">
      <c r="A5" s="18"/>
      <c r="B5" s="18"/>
      <c r="C5" s="18" t="s">
        <v>581</v>
      </c>
      <c r="D5" s="18"/>
      <c r="E5" s="18" t="s">
        <v>769</v>
      </c>
      <c r="F5" s="18"/>
      <c r="G5" s="18"/>
      <c r="H5" s="19" t="s">
        <v>138</v>
      </c>
      <c r="I5" s="18" t="s">
        <v>362</v>
      </c>
      <c r="J5" s="18" t="s">
        <v>41</v>
      </c>
      <c r="K5" s="30" t="s">
        <v>562</v>
      </c>
      <c r="L5" s="18">
        <v>101</v>
      </c>
      <c r="M5" s="28" t="s">
        <v>587</v>
      </c>
      <c r="N5" s="20" t="s">
        <v>589</v>
      </c>
      <c r="O5" s="33"/>
      <c r="P5" s="20"/>
      <c r="Q5" s="20"/>
    </row>
    <row r="6" spans="1:17" ht="18.649999999999999" customHeight="1">
      <c r="A6" s="6"/>
      <c r="B6" s="6"/>
      <c r="C6" s="6" t="s">
        <v>582</v>
      </c>
      <c r="D6" s="6"/>
      <c r="E6" s="6"/>
      <c r="F6" s="6"/>
      <c r="G6" s="6"/>
      <c r="H6" s="5" t="s">
        <v>138</v>
      </c>
      <c r="I6" s="6" t="s">
        <v>362</v>
      </c>
      <c r="J6" s="6" t="s">
        <v>403</v>
      </c>
      <c r="K6" s="54" t="s">
        <v>562</v>
      </c>
      <c r="L6" s="6">
        <v>103</v>
      </c>
      <c r="M6" s="55" t="s">
        <v>588</v>
      </c>
      <c r="N6" s="56" t="s">
        <v>590</v>
      </c>
      <c r="O6" s="68"/>
      <c r="P6" s="56"/>
      <c r="Q6" s="56"/>
    </row>
    <row r="7" spans="1:17" ht="18.649999999999999" customHeight="1">
      <c r="A7" s="18"/>
      <c r="B7" s="18"/>
      <c r="C7" s="18" t="s">
        <v>762</v>
      </c>
      <c r="D7" s="18"/>
      <c r="E7" s="18" t="s">
        <v>768</v>
      </c>
      <c r="F7" s="18"/>
      <c r="G7" s="18"/>
      <c r="H7" s="19" t="s">
        <v>138</v>
      </c>
      <c r="I7" s="18" t="s">
        <v>362</v>
      </c>
      <c r="J7" s="18" t="s">
        <v>40</v>
      </c>
      <c r="K7" s="30" t="s">
        <v>562</v>
      </c>
      <c r="L7" s="18">
        <v>103</v>
      </c>
      <c r="M7" s="28" t="s">
        <v>92</v>
      </c>
      <c r="N7" s="20" t="s">
        <v>64</v>
      </c>
      <c r="O7" s="33"/>
      <c r="P7" s="20"/>
      <c r="Q7" s="20"/>
    </row>
    <row r="8" spans="1:17" ht="18.649999999999999" customHeight="1">
      <c r="A8" s="4" t="s">
        <v>668</v>
      </c>
      <c r="B8" s="4"/>
      <c r="C8" s="4"/>
      <c r="D8" s="4"/>
      <c r="E8" s="4" t="s">
        <v>604</v>
      </c>
      <c r="F8" s="4"/>
      <c r="G8" s="4"/>
      <c r="H8" s="29" t="s">
        <v>70</v>
      </c>
      <c r="I8" s="4" t="s">
        <v>71</v>
      </c>
      <c r="J8" s="6" t="s">
        <v>43</v>
      </c>
      <c r="K8" s="54" t="s">
        <v>78</v>
      </c>
      <c r="L8" s="4">
        <v>104</v>
      </c>
      <c r="M8" s="55" t="s">
        <v>20</v>
      </c>
      <c r="N8" s="60" t="s">
        <v>605</v>
      </c>
      <c r="O8" s="4"/>
      <c r="P8" s="4"/>
      <c r="Q8" s="4"/>
    </row>
    <row r="9" spans="1:17" ht="18.649999999999999" customHeight="1">
      <c r="A9" s="78" t="s">
        <v>157</v>
      </c>
      <c r="B9" s="18"/>
      <c r="C9" s="18"/>
      <c r="D9" s="18"/>
      <c r="E9" s="18" t="s">
        <v>156</v>
      </c>
      <c r="F9" s="18"/>
      <c r="G9" s="18"/>
      <c r="H9" s="19" t="s">
        <v>138</v>
      </c>
      <c r="I9" s="18" t="s">
        <v>139</v>
      </c>
      <c r="J9" s="18" t="s">
        <v>142</v>
      </c>
      <c r="K9" s="30" t="s">
        <v>78</v>
      </c>
      <c r="L9" s="18">
        <v>104</v>
      </c>
      <c r="M9" s="28" t="s">
        <v>20</v>
      </c>
      <c r="N9" s="20" t="s">
        <v>146</v>
      </c>
      <c r="O9" s="20"/>
      <c r="P9" s="20"/>
      <c r="Q9" s="20"/>
    </row>
    <row r="10" spans="1:17" ht="18.649999999999999" customHeight="1">
      <c r="A10" s="12"/>
      <c r="B10" s="12"/>
      <c r="C10" s="12" t="s">
        <v>74</v>
      </c>
      <c r="D10" s="12"/>
      <c r="E10" s="12"/>
      <c r="F10" s="12"/>
      <c r="G10" s="12"/>
      <c r="H10" s="13" t="s">
        <v>70</v>
      </c>
      <c r="I10" s="12" t="s">
        <v>71</v>
      </c>
      <c r="J10" s="14" t="s">
        <v>75</v>
      </c>
      <c r="K10" s="30" t="s">
        <v>359</v>
      </c>
      <c r="L10" s="12">
        <v>104</v>
      </c>
      <c r="M10" s="28" t="s">
        <v>20</v>
      </c>
      <c r="N10" s="16" t="s">
        <v>72</v>
      </c>
      <c r="O10" s="12"/>
      <c r="P10" s="12"/>
      <c r="Q10" s="12"/>
    </row>
    <row r="11" spans="1:17" ht="18.649999999999999" customHeight="1">
      <c r="A11" s="18" t="s">
        <v>669</v>
      </c>
      <c r="B11" s="18"/>
      <c r="C11" s="78" t="s">
        <v>172</v>
      </c>
      <c r="D11" s="18"/>
      <c r="E11" s="18" t="s">
        <v>171</v>
      </c>
      <c r="F11" s="18"/>
      <c r="G11" s="18"/>
      <c r="H11" s="19" t="s">
        <v>138</v>
      </c>
      <c r="I11" s="18" t="s">
        <v>139</v>
      </c>
      <c r="J11" s="18" t="s">
        <v>142</v>
      </c>
      <c r="K11" s="30" t="s">
        <v>78</v>
      </c>
      <c r="L11" s="18">
        <v>104</v>
      </c>
      <c r="M11" s="28" t="s">
        <v>20</v>
      </c>
      <c r="N11" s="20" t="s">
        <v>152</v>
      </c>
      <c r="O11" s="20"/>
      <c r="P11" s="20"/>
      <c r="Q11" s="20"/>
    </row>
    <row r="12" spans="1:17" ht="18.649999999999999" customHeight="1">
      <c r="A12" s="4"/>
      <c r="B12" s="4"/>
      <c r="C12" s="4" t="s">
        <v>770</v>
      </c>
      <c r="D12" s="4"/>
      <c r="E12" s="4" t="s">
        <v>602</v>
      </c>
      <c r="F12" s="4"/>
      <c r="G12" s="4"/>
      <c r="H12" s="29" t="s">
        <v>70</v>
      </c>
      <c r="I12" s="4" t="s">
        <v>71</v>
      </c>
      <c r="J12" s="6" t="s">
        <v>43</v>
      </c>
      <c r="K12" s="54" t="s">
        <v>78</v>
      </c>
      <c r="L12" s="4">
        <v>104</v>
      </c>
      <c r="M12" s="55" t="s">
        <v>20</v>
      </c>
      <c r="N12" s="60" t="s">
        <v>603</v>
      </c>
      <c r="O12" s="4"/>
      <c r="P12" s="4"/>
      <c r="Q12" s="4"/>
    </row>
    <row r="13" spans="1:17" ht="18.649999999999999" customHeight="1">
      <c r="A13" s="75" t="s">
        <v>542</v>
      </c>
      <c r="B13" s="12"/>
      <c r="C13" s="75" t="s">
        <v>84</v>
      </c>
      <c r="D13" s="12"/>
      <c r="E13" s="12" t="s">
        <v>85</v>
      </c>
      <c r="F13" s="12"/>
      <c r="G13" s="12"/>
      <c r="H13" s="13" t="s">
        <v>70</v>
      </c>
      <c r="I13" s="12" t="s">
        <v>71</v>
      </c>
      <c r="J13" s="14" t="s">
        <v>80</v>
      </c>
      <c r="K13" s="15" t="s">
        <v>79</v>
      </c>
      <c r="L13" s="12">
        <v>105</v>
      </c>
      <c r="M13" s="28" t="s">
        <v>44</v>
      </c>
      <c r="N13" s="16" t="s">
        <v>77</v>
      </c>
      <c r="O13" s="12"/>
      <c r="P13" s="12"/>
      <c r="Q13" s="12"/>
    </row>
    <row r="14" spans="1:17" ht="18.649999999999999" customHeight="1">
      <c r="A14" s="6"/>
      <c r="B14" s="6"/>
      <c r="C14" s="6" t="s">
        <v>199</v>
      </c>
      <c r="D14" s="6"/>
      <c r="E14" s="6"/>
      <c r="F14" s="6"/>
      <c r="G14" s="6"/>
      <c r="H14" s="5" t="s">
        <v>138</v>
      </c>
      <c r="I14" s="6" t="s">
        <v>362</v>
      </c>
      <c r="J14" s="6" t="s">
        <v>141</v>
      </c>
      <c r="K14" s="54" t="s">
        <v>78</v>
      </c>
      <c r="L14" s="6">
        <v>105</v>
      </c>
      <c r="M14" s="55" t="s">
        <v>44</v>
      </c>
      <c r="N14" s="56" t="s">
        <v>364</v>
      </c>
      <c r="O14" s="56"/>
      <c r="P14" s="56"/>
      <c r="Q14" s="56"/>
    </row>
    <row r="15" spans="1:17" ht="18.649999999999999" customHeight="1">
      <c r="A15" s="6"/>
      <c r="B15" s="6"/>
      <c r="C15" s="6" t="s">
        <v>194</v>
      </c>
      <c r="D15" s="6"/>
      <c r="E15" s="6"/>
      <c r="F15" s="6"/>
      <c r="G15" s="6"/>
      <c r="H15" s="5" t="s">
        <v>138</v>
      </c>
      <c r="I15" s="6" t="s">
        <v>362</v>
      </c>
      <c r="J15" s="6" t="s">
        <v>363</v>
      </c>
      <c r="K15" s="54" t="s">
        <v>359</v>
      </c>
      <c r="L15" s="6">
        <v>105</v>
      </c>
      <c r="M15" s="55" t="s">
        <v>44</v>
      </c>
      <c r="N15" s="56" t="s">
        <v>364</v>
      </c>
      <c r="O15" s="56"/>
      <c r="P15" s="56"/>
      <c r="Q15" s="56"/>
    </row>
    <row r="16" spans="1:17" ht="18.649999999999999" customHeight="1">
      <c r="A16" s="6"/>
      <c r="B16" s="6"/>
      <c r="C16" s="6" t="s">
        <v>200</v>
      </c>
      <c r="D16" s="6"/>
      <c r="E16" s="6" t="s">
        <v>713</v>
      </c>
      <c r="F16" s="6"/>
      <c r="G16" s="6"/>
      <c r="H16" s="5" t="s">
        <v>138</v>
      </c>
      <c r="I16" s="6" t="s">
        <v>362</v>
      </c>
      <c r="J16" s="6" t="s">
        <v>141</v>
      </c>
      <c r="K16" s="54" t="s">
        <v>78</v>
      </c>
      <c r="L16" s="6">
        <v>105</v>
      </c>
      <c r="M16" s="55" t="s">
        <v>44</v>
      </c>
      <c r="N16" s="56" t="s">
        <v>367</v>
      </c>
      <c r="O16" s="56"/>
      <c r="P16" s="56"/>
      <c r="Q16" s="56"/>
    </row>
    <row r="17" spans="1:17" ht="18.649999999999999" customHeight="1">
      <c r="A17" s="6"/>
      <c r="B17" s="6"/>
      <c r="C17" s="6" t="s">
        <v>195</v>
      </c>
      <c r="D17" s="6"/>
      <c r="E17" s="6"/>
      <c r="F17" s="6"/>
      <c r="G17" s="6"/>
      <c r="H17" s="5" t="s">
        <v>138</v>
      </c>
      <c r="I17" s="6" t="s">
        <v>362</v>
      </c>
      <c r="J17" s="6" t="s">
        <v>365</v>
      </c>
      <c r="K17" s="54" t="s">
        <v>562</v>
      </c>
      <c r="L17" s="6">
        <v>105</v>
      </c>
      <c r="M17" s="55" t="s">
        <v>44</v>
      </c>
      <c r="N17" s="56" t="s">
        <v>366</v>
      </c>
      <c r="O17" s="56"/>
      <c r="P17" s="56"/>
      <c r="Q17" s="56"/>
    </row>
    <row r="18" spans="1:17" ht="18.649999999999999" customHeight="1">
      <c r="A18" s="6"/>
      <c r="B18" s="6"/>
      <c r="C18" s="6" t="s">
        <v>785</v>
      </c>
      <c r="D18" s="53"/>
      <c r="E18" s="6"/>
      <c r="F18" s="6"/>
      <c r="G18" s="6"/>
      <c r="H18" s="5" t="s">
        <v>138</v>
      </c>
      <c r="I18" s="4" t="s">
        <v>792</v>
      </c>
      <c r="J18" s="6" t="s">
        <v>782</v>
      </c>
      <c r="K18" s="54" t="str">
        <f>VLOOKUP(J18,材質!A:B,2,0)</f>
        <v xml:space="preserve">-55 to 105℃  </v>
      </c>
      <c r="L18" s="6">
        <v>105</v>
      </c>
      <c r="M18" s="55" t="s">
        <v>92</v>
      </c>
      <c r="N18" s="56" t="s">
        <v>786</v>
      </c>
      <c r="O18" s="57"/>
      <c r="P18" s="56"/>
      <c r="Q18" s="53"/>
    </row>
    <row r="19" spans="1:17" ht="18.649999999999999" customHeight="1">
      <c r="A19" s="6"/>
      <c r="B19" s="6"/>
      <c r="C19" s="6" t="s">
        <v>192</v>
      </c>
      <c r="D19" s="6"/>
      <c r="E19" s="6"/>
      <c r="F19" s="6"/>
      <c r="G19" s="6"/>
      <c r="H19" s="5" t="s">
        <v>138</v>
      </c>
      <c r="I19" s="6" t="s">
        <v>357</v>
      </c>
      <c r="J19" s="6" t="s">
        <v>141</v>
      </c>
      <c r="K19" s="54" t="s">
        <v>78</v>
      </c>
      <c r="L19" s="6">
        <v>105</v>
      </c>
      <c r="M19" s="55" t="s">
        <v>44</v>
      </c>
      <c r="N19" s="56" t="s">
        <v>360</v>
      </c>
      <c r="O19" s="56"/>
      <c r="P19" s="56"/>
      <c r="Q19" s="56"/>
    </row>
    <row r="20" spans="1:17" ht="18.649999999999999" customHeight="1">
      <c r="A20" s="6"/>
      <c r="B20" s="6"/>
      <c r="C20" s="6" t="s">
        <v>198</v>
      </c>
      <c r="D20" s="6"/>
      <c r="E20" s="6" t="s">
        <v>714</v>
      </c>
      <c r="F20" s="6"/>
      <c r="G20" s="6"/>
      <c r="H20" s="5" t="s">
        <v>138</v>
      </c>
      <c r="I20" s="6" t="s">
        <v>362</v>
      </c>
      <c r="J20" s="6" t="s">
        <v>141</v>
      </c>
      <c r="K20" s="54" t="s">
        <v>78</v>
      </c>
      <c r="L20" s="6">
        <v>105</v>
      </c>
      <c r="M20" s="55" t="s">
        <v>44</v>
      </c>
      <c r="N20" s="56" t="s">
        <v>360</v>
      </c>
      <c r="O20" s="56"/>
      <c r="P20" s="56"/>
      <c r="Q20" s="56"/>
    </row>
    <row r="21" spans="1:17" ht="18.649999999999999" customHeight="1">
      <c r="A21" s="6"/>
      <c r="B21" s="6"/>
      <c r="C21" s="6" t="s">
        <v>569</v>
      </c>
      <c r="D21" s="6"/>
      <c r="E21" s="6"/>
      <c r="F21" s="6"/>
      <c r="G21" s="6"/>
      <c r="H21" s="5" t="s">
        <v>138</v>
      </c>
      <c r="I21" s="6" t="s">
        <v>362</v>
      </c>
      <c r="J21" s="6" t="s">
        <v>363</v>
      </c>
      <c r="K21" s="54" t="s">
        <v>359</v>
      </c>
      <c r="L21" s="6">
        <v>105</v>
      </c>
      <c r="M21" s="55" t="s">
        <v>44</v>
      </c>
      <c r="N21" s="56" t="s">
        <v>360</v>
      </c>
      <c r="O21" s="56"/>
      <c r="P21" s="56"/>
      <c r="Q21" s="56"/>
    </row>
    <row r="22" spans="1:17" ht="18.649999999999999" customHeight="1">
      <c r="A22" s="6"/>
      <c r="B22" s="6"/>
      <c r="C22" s="6" t="s">
        <v>191</v>
      </c>
      <c r="D22" s="6"/>
      <c r="E22" s="6"/>
      <c r="F22" s="6"/>
      <c r="G22" s="6"/>
      <c r="H22" s="5" t="s">
        <v>138</v>
      </c>
      <c r="I22" s="6" t="s">
        <v>357</v>
      </c>
      <c r="J22" s="6" t="s">
        <v>358</v>
      </c>
      <c r="K22" s="54" t="s">
        <v>359</v>
      </c>
      <c r="L22" s="6">
        <v>105</v>
      </c>
      <c r="M22" s="55" t="s">
        <v>44</v>
      </c>
      <c r="N22" s="56" t="s">
        <v>360</v>
      </c>
      <c r="O22" s="56"/>
      <c r="P22" s="56"/>
      <c r="Q22" s="56"/>
    </row>
    <row r="23" spans="1:17" ht="18.649999999999999" customHeight="1">
      <c r="A23" s="6"/>
      <c r="B23" s="6"/>
      <c r="C23" s="6" t="s">
        <v>196</v>
      </c>
      <c r="D23" s="6"/>
      <c r="E23" s="6"/>
      <c r="F23" s="6"/>
      <c r="G23" s="6"/>
      <c r="H23" s="5" t="s">
        <v>138</v>
      </c>
      <c r="I23" s="6" t="s">
        <v>362</v>
      </c>
      <c r="J23" s="6" t="s">
        <v>365</v>
      </c>
      <c r="K23" s="54" t="s">
        <v>562</v>
      </c>
      <c r="L23" s="6">
        <v>105</v>
      </c>
      <c r="M23" s="55" t="s">
        <v>44</v>
      </c>
      <c r="N23" s="56" t="s">
        <v>360</v>
      </c>
      <c r="O23" s="56"/>
      <c r="P23" s="56"/>
      <c r="Q23" s="56"/>
    </row>
    <row r="24" spans="1:17" ht="18.649999999999999" customHeight="1">
      <c r="A24" s="74" t="s">
        <v>155</v>
      </c>
      <c r="B24" s="18"/>
      <c r="C24" s="74" t="s">
        <v>154</v>
      </c>
      <c r="D24" s="18"/>
      <c r="E24" s="18" t="s">
        <v>153</v>
      </c>
      <c r="F24" s="18"/>
      <c r="G24" s="18"/>
      <c r="H24" s="19" t="s">
        <v>138</v>
      </c>
      <c r="I24" s="18" t="s">
        <v>139</v>
      </c>
      <c r="J24" s="18" t="s">
        <v>142</v>
      </c>
      <c r="K24" s="30" t="s">
        <v>78</v>
      </c>
      <c r="L24" s="18">
        <v>105</v>
      </c>
      <c r="M24" s="28" t="s">
        <v>20</v>
      </c>
      <c r="N24" s="20" t="s">
        <v>140</v>
      </c>
      <c r="O24" s="20"/>
      <c r="P24" s="20"/>
      <c r="Q24" s="20"/>
    </row>
    <row r="25" spans="1:17" ht="18.649999999999999" customHeight="1">
      <c r="A25" s="18" t="s">
        <v>670</v>
      </c>
      <c r="B25" s="18"/>
      <c r="C25" s="18"/>
      <c r="D25" s="18"/>
      <c r="E25" s="18"/>
      <c r="F25" s="18"/>
      <c r="G25" s="18"/>
      <c r="H25" s="19" t="s">
        <v>138</v>
      </c>
      <c r="I25" s="18" t="s">
        <v>71</v>
      </c>
      <c r="J25" s="18" t="s">
        <v>43</v>
      </c>
      <c r="K25" s="30" t="s">
        <v>78</v>
      </c>
      <c r="L25" s="18">
        <v>105</v>
      </c>
      <c r="M25" s="28" t="s">
        <v>20</v>
      </c>
      <c r="N25" s="20" t="s">
        <v>65</v>
      </c>
      <c r="O25" s="20"/>
      <c r="P25" s="20"/>
      <c r="Q25" s="20"/>
    </row>
    <row r="26" spans="1:17" ht="18.649999999999999" customHeight="1">
      <c r="A26" s="6" t="s">
        <v>570</v>
      </c>
      <c r="B26" s="6"/>
      <c r="C26" s="76" t="s">
        <v>751</v>
      </c>
      <c r="D26" s="6"/>
      <c r="E26" s="6" t="s">
        <v>137</v>
      </c>
      <c r="F26" s="6"/>
      <c r="G26" s="6"/>
      <c r="H26" s="5" t="s">
        <v>138</v>
      </c>
      <c r="I26" s="6" t="s">
        <v>139</v>
      </c>
      <c r="J26" s="6" t="s">
        <v>142</v>
      </c>
      <c r="K26" s="54" t="s">
        <v>78</v>
      </c>
      <c r="L26" s="6">
        <v>105</v>
      </c>
      <c r="M26" s="55" t="s">
        <v>39</v>
      </c>
      <c r="N26" s="56" t="s">
        <v>140</v>
      </c>
      <c r="O26" s="56"/>
      <c r="P26" s="56"/>
      <c r="Q26" s="56"/>
    </row>
    <row r="27" spans="1:17" ht="18.649999999999999" customHeight="1">
      <c r="A27" s="6" t="s">
        <v>671</v>
      </c>
      <c r="B27" s="6"/>
      <c r="C27" s="6"/>
      <c r="D27" s="6"/>
      <c r="E27" s="6"/>
      <c r="F27" s="6"/>
      <c r="G27" s="6"/>
      <c r="H27" s="5" t="s">
        <v>138</v>
      </c>
      <c r="I27" s="6" t="s">
        <v>71</v>
      </c>
      <c r="J27" s="6" t="s">
        <v>43</v>
      </c>
      <c r="K27" s="54" t="s">
        <v>78</v>
      </c>
      <c r="L27" s="6">
        <v>105</v>
      </c>
      <c r="M27" s="55" t="s">
        <v>39</v>
      </c>
      <c r="N27" s="56" t="s">
        <v>65</v>
      </c>
      <c r="O27" s="56"/>
      <c r="P27" s="56"/>
      <c r="Q27" s="56"/>
    </row>
    <row r="28" spans="1:17" ht="18.649999999999999" customHeight="1">
      <c r="A28" s="18"/>
      <c r="B28" s="18"/>
      <c r="C28" s="18" t="s">
        <v>193</v>
      </c>
      <c r="D28" s="18"/>
      <c r="E28" s="18"/>
      <c r="F28" s="18"/>
      <c r="G28" s="18"/>
      <c r="H28" s="19" t="s">
        <v>138</v>
      </c>
      <c r="I28" s="18" t="s">
        <v>362</v>
      </c>
      <c r="J28" s="18" t="s">
        <v>363</v>
      </c>
      <c r="K28" s="30" t="s">
        <v>359</v>
      </c>
      <c r="L28" s="18">
        <v>105</v>
      </c>
      <c r="M28" s="28" t="s">
        <v>44</v>
      </c>
      <c r="N28" s="20" t="s">
        <v>361</v>
      </c>
      <c r="O28" s="20"/>
      <c r="P28" s="20"/>
      <c r="Q28" s="20"/>
    </row>
    <row r="29" spans="1:17" ht="18.649999999999999" customHeight="1">
      <c r="A29" s="6"/>
      <c r="B29" s="6"/>
      <c r="C29" s="6" t="s">
        <v>197</v>
      </c>
      <c r="D29" s="6"/>
      <c r="E29" s="6"/>
      <c r="F29" s="6"/>
      <c r="G29" s="6"/>
      <c r="H29" s="5" t="s">
        <v>138</v>
      </c>
      <c r="I29" s="6" t="s">
        <v>362</v>
      </c>
      <c r="J29" s="6" t="s">
        <v>365</v>
      </c>
      <c r="K29" s="54" t="s">
        <v>562</v>
      </c>
      <c r="L29" s="6">
        <v>105</v>
      </c>
      <c r="M29" s="55" t="s">
        <v>44</v>
      </c>
      <c r="N29" s="56" t="s">
        <v>361</v>
      </c>
      <c r="O29" s="56"/>
      <c r="P29" s="56"/>
      <c r="Q29" s="56"/>
    </row>
    <row r="30" spans="1:17" ht="18.649999999999999" customHeight="1">
      <c r="A30" s="18"/>
      <c r="B30" s="18"/>
      <c r="C30" s="18" t="s">
        <v>764</v>
      </c>
      <c r="D30" s="18"/>
      <c r="E30" s="18"/>
      <c r="F30" s="18"/>
      <c r="G30" s="18"/>
      <c r="H30" s="19" t="s">
        <v>138</v>
      </c>
      <c r="I30" s="18" t="s">
        <v>362</v>
      </c>
      <c r="J30" s="18" t="s">
        <v>41</v>
      </c>
      <c r="K30" s="30" t="s">
        <v>562</v>
      </c>
      <c r="L30" s="18">
        <v>121</v>
      </c>
      <c r="M30" s="28" t="s">
        <v>22</v>
      </c>
      <c r="N30" s="20" t="s">
        <v>64</v>
      </c>
      <c r="O30" s="33"/>
      <c r="P30" s="20"/>
      <c r="Q30" s="20"/>
    </row>
    <row r="31" spans="1:17" ht="18.649999999999999" customHeight="1">
      <c r="A31" s="18"/>
      <c r="B31" s="18"/>
      <c r="C31" s="18" t="s">
        <v>584</v>
      </c>
      <c r="D31" s="18"/>
      <c r="E31" s="18"/>
      <c r="F31" s="18"/>
      <c r="G31" s="18"/>
      <c r="H31" s="19" t="s">
        <v>138</v>
      </c>
      <c r="I31" s="18" t="s">
        <v>362</v>
      </c>
      <c r="J31" s="18" t="s">
        <v>41</v>
      </c>
      <c r="K31" s="30" t="s">
        <v>562</v>
      </c>
      <c r="L31" s="18">
        <v>121</v>
      </c>
      <c r="M31" s="28" t="s">
        <v>587</v>
      </c>
      <c r="N31" s="20" t="s">
        <v>589</v>
      </c>
      <c r="O31" s="33"/>
      <c r="P31" s="20"/>
      <c r="Q31" s="20"/>
    </row>
    <row r="32" spans="1:17" ht="18.649999999999999" customHeight="1">
      <c r="A32" s="18"/>
      <c r="B32" s="18"/>
      <c r="C32" s="18" t="s">
        <v>765</v>
      </c>
      <c r="D32" s="18"/>
      <c r="E32" s="18"/>
      <c r="F32" s="18"/>
      <c r="G32" s="18"/>
      <c r="H32" s="19" t="s">
        <v>138</v>
      </c>
      <c r="I32" s="18" t="s">
        <v>362</v>
      </c>
      <c r="J32" s="18" t="s">
        <v>41</v>
      </c>
      <c r="K32" s="30" t="s">
        <v>562</v>
      </c>
      <c r="L32" s="18">
        <v>181</v>
      </c>
      <c r="M32" s="28" t="s">
        <v>22</v>
      </c>
      <c r="N32" s="20" t="s">
        <v>64</v>
      </c>
      <c r="O32" s="33"/>
      <c r="P32" s="20"/>
      <c r="Q32" s="20"/>
    </row>
    <row r="33" spans="1:17" ht="18.649999999999999" customHeight="1">
      <c r="A33" s="18"/>
      <c r="B33" s="18"/>
      <c r="C33" s="18" t="s">
        <v>585</v>
      </c>
      <c r="D33" s="18"/>
      <c r="E33" s="18"/>
      <c r="F33" s="18"/>
      <c r="G33" s="18"/>
      <c r="H33" s="19" t="s">
        <v>138</v>
      </c>
      <c r="I33" s="18" t="s">
        <v>362</v>
      </c>
      <c r="J33" s="18" t="s">
        <v>41</v>
      </c>
      <c r="K33" s="30" t="s">
        <v>562</v>
      </c>
      <c r="L33" s="18">
        <v>181</v>
      </c>
      <c r="M33" s="28" t="s">
        <v>587</v>
      </c>
      <c r="N33" s="20" t="s">
        <v>589</v>
      </c>
      <c r="O33" s="33"/>
      <c r="P33" s="20"/>
      <c r="Q33" s="20"/>
    </row>
    <row r="34" spans="1:17" ht="18.649999999999999" customHeight="1">
      <c r="A34" s="12"/>
      <c r="B34" s="12"/>
      <c r="C34" s="12" t="s">
        <v>76</v>
      </c>
      <c r="D34" s="12"/>
      <c r="E34" s="12" t="s">
        <v>86</v>
      </c>
      <c r="F34" s="12"/>
      <c r="G34" s="12"/>
      <c r="H34" s="13" t="s">
        <v>70</v>
      </c>
      <c r="I34" s="12" t="s">
        <v>71</v>
      </c>
      <c r="J34" s="14" t="s">
        <v>43</v>
      </c>
      <c r="K34" s="15" t="s">
        <v>78</v>
      </c>
      <c r="L34" s="12">
        <v>224</v>
      </c>
      <c r="M34" s="28" t="s">
        <v>20</v>
      </c>
      <c r="N34" s="16" t="s">
        <v>77</v>
      </c>
      <c r="O34" s="12"/>
      <c r="P34" s="12"/>
      <c r="Q34" s="12"/>
    </row>
    <row r="35" spans="1:17" ht="18.649999999999999" customHeight="1">
      <c r="A35" s="12" t="s">
        <v>672</v>
      </c>
      <c r="B35" s="12"/>
      <c r="C35" s="75" t="s">
        <v>594</v>
      </c>
      <c r="D35" s="12"/>
      <c r="E35" s="12" t="s">
        <v>87</v>
      </c>
      <c r="F35" s="12"/>
      <c r="G35" s="12"/>
      <c r="H35" s="13" t="s">
        <v>70</v>
      </c>
      <c r="I35" s="12" t="s">
        <v>71</v>
      </c>
      <c r="J35" s="14" t="s">
        <v>43</v>
      </c>
      <c r="K35" s="15" t="s">
        <v>78</v>
      </c>
      <c r="L35" s="12">
        <v>224</v>
      </c>
      <c r="M35" s="28" t="s">
        <v>20</v>
      </c>
      <c r="N35" s="16" t="s">
        <v>65</v>
      </c>
      <c r="O35" s="12"/>
      <c r="P35" s="12"/>
      <c r="Q35" s="12"/>
    </row>
    <row r="36" spans="1:17" ht="18.649999999999999" customHeight="1">
      <c r="A36" s="12"/>
      <c r="B36" s="12"/>
      <c r="C36" s="12" t="s">
        <v>83</v>
      </c>
      <c r="D36" s="12"/>
      <c r="E36" s="12"/>
      <c r="F36" s="12"/>
      <c r="G36" s="12"/>
      <c r="H36" s="13" t="s">
        <v>70</v>
      </c>
      <c r="I36" s="12" t="s">
        <v>71</v>
      </c>
      <c r="J36" s="14" t="s">
        <v>75</v>
      </c>
      <c r="K36" s="30" t="s">
        <v>359</v>
      </c>
      <c r="L36" s="12">
        <v>224</v>
      </c>
      <c r="M36" s="28" t="s">
        <v>44</v>
      </c>
      <c r="N36" s="16" t="s">
        <v>82</v>
      </c>
      <c r="O36" s="12"/>
      <c r="P36" s="12"/>
      <c r="Q36" s="12"/>
    </row>
    <row r="37" spans="1:17" ht="18.649999999999999" customHeight="1">
      <c r="A37" s="18"/>
      <c r="B37" s="18"/>
      <c r="C37" s="78" t="s">
        <v>96</v>
      </c>
      <c r="D37" s="18" t="s">
        <v>647</v>
      </c>
      <c r="E37" s="18"/>
      <c r="F37" s="18"/>
      <c r="G37" s="18"/>
      <c r="H37" s="13" t="s">
        <v>70</v>
      </c>
      <c r="I37" s="12" t="s">
        <v>71</v>
      </c>
      <c r="J37" s="14" t="s">
        <v>43</v>
      </c>
      <c r="K37" s="15" t="s">
        <v>78</v>
      </c>
      <c r="L37" s="12">
        <v>225</v>
      </c>
      <c r="M37" s="28" t="s">
        <v>631</v>
      </c>
      <c r="N37" s="16" t="s">
        <v>61</v>
      </c>
      <c r="O37" s="33"/>
      <c r="P37" s="20"/>
      <c r="Q37" s="20"/>
    </row>
    <row r="38" spans="1:17" ht="18.649999999999999" customHeight="1">
      <c r="A38" s="17" t="s">
        <v>127</v>
      </c>
      <c r="B38" s="12"/>
      <c r="C38" s="12" t="s">
        <v>205</v>
      </c>
      <c r="D38" s="12" t="s">
        <v>135</v>
      </c>
      <c r="E38" s="12" t="s">
        <v>128</v>
      </c>
      <c r="F38" s="12"/>
      <c r="G38" s="12"/>
      <c r="H38" s="13" t="s">
        <v>70</v>
      </c>
      <c r="I38" s="12" t="s">
        <v>71</v>
      </c>
      <c r="J38" s="14" t="s">
        <v>43</v>
      </c>
      <c r="K38" s="15" t="s">
        <v>78</v>
      </c>
      <c r="L38" s="12">
        <v>225</v>
      </c>
      <c r="M38" s="28" t="s">
        <v>44</v>
      </c>
      <c r="N38" s="16" t="s">
        <v>97</v>
      </c>
      <c r="O38" s="12"/>
      <c r="P38" s="12"/>
      <c r="Q38" s="12"/>
    </row>
    <row r="39" spans="1:17" ht="18.649999999999999" customHeight="1">
      <c r="A39" s="6"/>
      <c r="B39" s="6"/>
      <c r="C39" s="6" t="s">
        <v>201</v>
      </c>
      <c r="D39" s="6"/>
      <c r="E39" s="6"/>
      <c r="F39" s="6"/>
      <c r="G39" s="6"/>
      <c r="H39" s="5" t="s">
        <v>138</v>
      </c>
      <c r="I39" s="6" t="s">
        <v>362</v>
      </c>
      <c r="J39" s="6" t="s">
        <v>358</v>
      </c>
      <c r="K39" s="54" t="s">
        <v>359</v>
      </c>
      <c r="L39" s="6">
        <v>225</v>
      </c>
      <c r="M39" s="55" t="s">
        <v>44</v>
      </c>
      <c r="N39" s="56" t="s">
        <v>366</v>
      </c>
      <c r="O39" s="56"/>
      <c r="P39" s="56"/>
      <c r="Q39" s="56"/>
    </row>
    <row r="40" spans="1:17" ht="18.649999999999999" customHeight="1">
      <c r="A40" s="6"/>
      <c r="B40" s="6"/>
      <c r="C40" s="6" t="s">
        <v>202</v>
      </c>
      <c r="D40" s="6"/>
      <c r="E40" s="6"/>
      <c r="F40" s="6"/>
      <c r="G40" s="6"/>
      <c r="H40" s="5" t="s">
        <v>138</v>
      </c>
      <c r="I40" s="6" t="s">
        <v>362</v>
      </c>
      <c r="J40" s="6" t="s">
        <v>141</v>
      </c>
      <c r="K40" s="54" t="s">
        <v>78</v>
      </c>
      <c r="L40" s="6">
        <v>225</v>
      </c>
      <c r="M40" s="55" t="s">
        <v>44</v>
      </c>
      <c r="N40" s="56" t="s">
        <v>360</v>
      </c>
      <c r="O40" s="56"/>
      <c r="P40" s="56"/>
      <c r="Q40" s="56"/>
    </row>
    <row r="41" spans="1:17" ht="18.649999999999999" customHeight="1">
      <c r="A41" s="6"/>
      <c r="B41" s="6"/>
      <c r="C41" s="6" t="s">
        <v>203</v>
      </c>
      <c r="D41" s="6"/>
      <c r="E41" s="6"/>
      <c r="F41" s="6"/>
      <c r="G41" s="6"/>
      <c r="H41" s="5" t="s">
        <v>138</v>
      </c>
      <c r="I41" s="6" t="s">
        <v>362</v>
      </c>
      <c r="J41" s="6" t="s">
        <v>141</v>
      </c>
      <c r="K41" s="54" t="s">
        <v>78</v>
      </c>
      <c r="L41" s="6">
        <v>225</v>
      </c>
      <c r="M41" s="55" t="s">
        <v>44</v>
      </c>
      <c r="N41" s="56" t="s">
        <v>360</v>
      </c>
      <c r="O41" s="56"/>
      <c r="P41" s="56"/>
      <c r="Q41" s="56"/>
    </row>
    <row r="42" spans="1:17" ht="18.649999999999999" customHeight="1">
      <c r="A42" s="12"/>
      <c r="B42" s="12"/>
      <c r="C42" s="12"/>
      <c r="D42" s="12" t="s">
        <v>644</v>
      </c>
      <c r="E42" s="12"/>
      <c r="F42" s="12"/>
      <c r="G42" s="12"/>
      <c r="H42" s="13" t="s">
        <v>70</v>
      </c>
      <c r="I42" s="12" t="s">
        <v>645</v>
      </c>
      <c r="J42" s="14" t="s">
        <v>43</v>
      </c>
      <c r="K42" s="15" t="s">
        <v>78</v>
      </c>
      <c r="L42" s="12">
        <v>225</v>
      </c>
      <c r="M42" s="28" t="s">
        <v>44</v>
      </c>
      <c r="N42" s="16" t="s">
        <v>65</v>
      </c>
      <c r="O42" s="12"/>
      <c r="P42" s="12"/>
      <c r="Q42" s="12"/>
    </row>
    <row r="43" spans="1:17" ht="18.649999999999999" customHeight="1">
      <c r="A43" s="12"/>
      <c r="B43" s="12"/>
      <c r="C43" s="12"/>
      <c r="D43" s="12" t="s">
        <v>644</v>
      </c>
      <c r="E43" s="12"/>
      <c r="F43" s="12"/>
      <c r="G43" s="12"/>
      <c r="H43" s="13" t="s">
        <v>70</v>
      </c>
      <c r="I43" s="12" t="s">
        <v>646</v>
      </c>
      <c r="J43" s="14" t="s">
        <v>43</v>
      </c>
      <c r="K43" s="15" t="s">
        <v>78</v>
      </c>
      <c r="L43" s="12">
        <v>225</v>
      </c>
      <c r="M43" s="28" t="s">
        <v>44</v>
      </c>
      <c r="N43" s="16" t="s">
        <v>65</v>
      </c>
      <c r="O43" s="12"/>
      <c r="P43" s="12"/>
      <c r="Q43" s="12"/>
    </row>
    <row r="44" spans="1:17" ht="18.649999999999999" customHeight="1">
      <c r="A44" s="12" t="s">
        <v>673</v>
      </c>
      <c r="B44" s="12"/>
      <c r="C44" s="75" t="s">
        <v>655</v>
      </c>
      <c r="D44" s="12"/>
      <c r="E44" s="12" t="s">
        <v>95</v>
      </c>
      <c r="F44" s="12"/>
      <c r="G44" s="12"/>
      <c r="H44" s="13" t="s">
        <v>70</v>
      </c>
      <c r="I44" s="12" t="s">
        <v>71</v>
      </c>
      <c r="J44" s="14" t="s">
        <v>43</v>
      </c>
      <c r="K44" s="15" t="s">
        <v>78</v>
      </c>
      <c r="L44" s="12">
        <v>225</v>
      </c>
      <c r="M44" s="28" t="s">
        <v>44</v>
      </c>
      <c r="N44" s="16" t="s">
        <v>65</v>
      </c>
      <c r="O44" s="12"/>
      <c r="P44" s="12"/>
      <c r="Q44" s="12"/>
    </row>
    <row r="45" spans="1:17" ht="18.649999999999999" customHeight="1">
      <c r="A45" s="6"/>
      <c r="B45" s="6"/>
      <c r="C45" s="6" t="s">
        <v>204</v>
      </c>
      <c r="D45" s="6"/>
      <c r="E45" s="6"/>
      <c r="F45" s="6"/>
      <c r="G45" s="6"/>
      <c r="H45" s="5" t="s">
        <v>138</v>
      </c>
      <c r="I45" s="6" t="s">
        <v>362</v>
      </c>
      <c r="J45" s="6" t="s">
        <v>141</v>
      </c>
      <c r="K45" s="54" t="s">
        <v>78</v>
      </c>
      <c r="L45" s="6">
        <v>225</v>
      </c>
      <c r="M45" s="55" t="s">
        <v>44</v>
      </c>
      <c r="N45" s="56" t="s">
        <v>361</v>
      </c>
      <c r="O45" s="56"/>
      <c r="P45" s="56"/>
      <c r="Q45" s="56"/>
    </row>
    <row r="46" spans="1:17" ht="18.649999999999999" customHeight="1">
      <c r="A46" s="18"/>
      <c r="B46" s="18"/>
      <c r="C46" s="18" t="s">
        <v>766</v>
      </c>
      <c r="D46" s="18"/>
      <c r="E46" s="18"/>
      <c r="F46" s="18"/>
      <c r="G46" s="18"/>
      <c r="H46" s="19" t="s">
        <v>138</v>
      </c>
      <c r="I46" s="18" t="s">
        <v>362</v>
      </c>
      <c r="J46" s="18" t="s">
        <v>41</v>
      </c>
      <c r="K46" s="30" t="s">
        <v>562</v>
      </c>
      <c r="L46" s="18">
        <v>330</v>
      </c>
      <c r="M46" s="28" t="s">
        <v>22</v>
      </c>
      <c r="N46" s="20" t="s">
        <v>64</v>
      </c>
      <c r="O46" s="33"/>
      <c r="P46" s="20"/>
      <c r="Q46" s="20"/>
    </row>
    <row r="47" spans="1:17" ht="18.649999999999999" customHeight="1">
      <c r="A47" s="18"/>
      <c r="B47" s="18"/>
      <c r="C47" s="18" t="s">
        <v>586</v>
      </c>
      <c r="D47" s="18"/>
      <c r="E47" s="18"/>
      <c r="F47" s="18"/>
      <c r="G47" s="18"/>
      <c r="H47" s="19" t="s">
        <v>138</v>
      </c>
      <c r="I47" s="18" t="s">
        <v>362</v>
      </c>
      <c r="J47" s="18" t="s">
        <v>41</v>
      </c>
      <c r="K47" s="30" t="s">
        <v>562</v>
      </c>
      <c r="L47" s="18">
        <v>330</v>
      </c>
      <c r="M47" s="28" t="s">
        <v>587</v>
      </c>
      <c r="N47" s="20" t="s">
        <v>589</v>
      </c>
      <c r="O47" s="33"/>
      <c r="P47" s="20"/>
      <c r="Q47" s="20"/>
    </row>
    <row r="48" spans="1:17" ht="18.649999999999999" customHeight="1">
      <c r="A48" s="6"/>
      <c r="B48" s="6"/>
      <c r="C48" s="6" t="s">
        <v>583</v>
      </c>
      <c r="D48" s="6"/>
      <c r="E48" s="6"/>
      <c r="F48" s="6"/>
      <c r="G48" s="6"/>
      <c r="H48" s="5" t="s">
        <v>138</v>
      </c>
      <c r="I48" s="6" t="s">
        <v>362</v>
      </c>
      <c r="J48" s="6" t="s">
        <v>41</v>
      </c>
      <c r="K48" s="54" t="s">
        <v>562</v>
      </c>
      <c r="L48" s="6">
        <v>391</v>
      </c>
      <c r="M48" s="55" t="s">
        <v>588</v>
      </c>
      <c r="N48" s="56" t="s">
        <v>589</v>
      </c>
      <c r="O48" s="68"/>
      <c r="P48" s="56"/>
      <c r="Q48" s="56"/>
    </row>
    <row r="49" spans="1:17" ht="18.649999999999999" customHeight="1">
      <c r="A49" s="18"/>
      <c r="B49" s="18"/>
      <c r="C49" s="18" t="s">
        <v>763</v>
      </c>
      <c r="D49" s="18"/>
      <c r="E49" s="18"/>
      <c r="F49" s="18"/>
      <c r="G49" s="18"/>
      <c r="H49" s="19" t="s">
        <v>138</v>
      </c>
      <c r="I49" s="18" t="s">
        <v>362</v>
      </c>
      <c r="J49" s="18" t="s">
        <v>40</v>
      </c>
      <c r="K49" s="30" t="s">
        <v>562</v>
      </c>
      <c r="L49" s="18">
        <v>391</v>
      </c>
      <c r="M49" s="28" t="s">
        <v>92</v>
      </c>
      <c r="N49" s="20" t="s">
        <v>64</v>
      </c>
      <c r="O49" s="33"/>
      <c r="P49" s="20"/>
      <c r="Q49" s="20"/>
    </row>
    <row r="50" spans="1:17" ht="18.649999999999999" customHeight="1">
      <c r="A50" s="18"/>
      <c r="B50" s="18"/>
      <c r="C50" s="18" t="s">
        <v>760</v>
      </c>
      <c r="D50" s="18"/>
      <c r="E50" s="18"/>
      <c r="F50" s="18"/>
      <c r="G50" s="18"/>
      <c r="H50" s="19" t="s">
        <v>138</v>
      </c>
      <c r="I50" s="18" t="s">
        <v>362</v>
      </c>
      <c r="J50" s="18" t="s">
        <v>41</v>
      </c>
      <c r="K50" s="30" t="s">
        <v>562</v>
      </c>
      <c r="L50" s="18">
        <v>470</v>
      </c>
      <c r="M50" s="28" t="s">
        <v>22</v>
      </c>
      <c r="N50" s="20" t="s">
        <v>64</v>
      </c>
      <c r="O50" s="33"/>
      <c r="P50" s="20"/>
      <c r="Q50" s="20"/>
    </row>
    <row r="51" spans="1:17" ht="18.649999999999999" customHeight="1">
      <c r="A51" s="18"/>
      <c r="B51" s="18"/>
      <c r="C51" s="18" t="s">
        <v>580</v>
      </c>
      <c r="D51" s="18"/>
      <c r="E51" s="18"/>
      <c r="F51" s="18"/>
      <c r="G51" s="18"/>
      <c r="H51" s="19" t="s">
        <v>138</v>
      </c>
      <c r="I51" s="18" t="s">
        <v>362</v>
      </c>
      <c r="J51" s="18" t="s">
        <v>41</v>
      </c>
      <c r="K51" s="30" t="s">
        <v>562</v>
      </c>
      <c r="L51" s="18">
        <v>470</v>
      </c>
      <c r="M51" s="28" t="s">
        <v>587</v>
      </c>
      <c r="N51" s="20" t="s">
        <v>589</v>
      </c>
      <c r="O51" s="33"/>
      <c r="P51" s="20"/>
      <c r="Q51" s="20"/>
    </row>
    <row r="52" spans="1:17" ht="18.649999999999999" customHeight="1">
      <c r="A52" s="18"/>
      <c r="B52" s="18"/>
      <c r="C52" s="18" t="s">
        <v>547</v>
      </c>
      <c r="D52" s="18"/>
      <c r="E52" s="18" t="s">
        <v>715</v>
      </c>
      <c r="F52" s="18"/>
      <c r="G52" s="18"/>
      <c r="H52" s="13" t="s">
        <v>70</v>
      </c>
      <c r="I52" s="18" t="s">
        <v>548</v>
      </c>
      <c r="J52" s="14" t="s">
        <v>43</v>
      </c>
      <c r="K52" s="15" t="s">
        <v>78</v>
      </c>
      <c r="L52" s="18">
        <v>474</v>
      </c>
      <c r="M52" s="28" t="s">
        <v>20</v>
      </c>
      <c r="N52" s="16" t="s">
        <v>65</v>
      </c>
      <c r="O52" s="59"/>
      <c r="P52" s="20"/>
      <c r="Q52" s="20"/>
    </row>
    <row r="53" spans="1:17" ht="18.649999999999999" customHeight="1">
      <c r="A53" s="12"/>
      <c r="B53" s="12"/>
      <c r="C53" s="12"/>
      <c r="D53" s="12" t="s">
        <v>131</v>
      </c>
      <c r="E53" s="12"/>
      <c r="F53" s="12"/>
      <c r="G53" s="12"/>
      <c r="H53" s="13" t="s">
        <v>70</v>
      </c>
      <c r="I53" s="12" t="s">
        <v>648</v>
      </c>
      <c r="J53" s="14" t="s">
        <v>43</v>
      </c>
      <c r="K53" s="15" t="s">
        <v>78</v>
      </c>
      <c r="L53" s="12">
        <v>475</v>
      </c>
      <c r="M53" s="28" t="s">
        <v>44</v>
      </c>
      <c r="N53" s="16" t="s">
        <v>65</v>
      </c>
      <c r="O53" s="12"/>
      <c r="P53" s="12"/>
      <c r="Q53" s="12"/>
    </row>
    <row r="54" spans="1:17" ht="18.649999999999999" customHeight="1">
      <c r="A54" s="4"/>
      <c r="B54" s="12"/>
      <c r="C54" s="4" t="s">
        <v>868</v>
      </c>
      <c r="D54" s="4"/>
      <c r="E54" s="4"/>
      <c r="F54" s="4"/>
      <c r="G54" s="4"/>
      <c r="H54" s="29" t="s">
        <v>89</v>
      </c>
      <c r="I54" s="4" t="s">
        <v>147</v>
      </c>
      <c r="J54" s="22" t="s">
        <v>865</v>
      </c>
      <c r="K54" s="8" t="s">
        <v>562</v>
      </c>
      <c r="L54" s="4" t="s">
        <v>871</v>
      </c>
      <c r="M54" s="55" t="s">
        <v>846</v>
      </c>
      <c r="N54" s="60" t="s">
        <v>375</v>
      </c>
      <c r="O54" s="4"/>
      <c r="P54" s="4"/>
      <c r="Q54" s="4"/>
    </row>
    <row r="55" spans="1:17" ht="18.649999999999999" customHeight="1">
      <c r="A55" s="4"/>
      <c r="B55" s="12"/>
      <c r="C55" s="4" t="s">
        <v>869</v>
      </c>
      <c r="D55" s="4"/>
      <c r="E55" s="4"/>
      <c r="F55" s="4"/>
      <c r="G55" s="4"/>
      <c r="H55" s="29" t="s">
        <v>89</v>
      </c>
      <c r="I55" s="4" t="s">
        <v>147</v>
      </c>
      <c r="J55" s="22" t="s">
        <v>865</v>
      </c>
      <c r="K55" s="8" t="s">
        <v>562</v>
      </c>
      <c r="L55" s="4" t="s">
        <v>872</v>
      </c>
      <c r="M55" s="55" t="s">
        <v>846</v>
      </c>
      <c r="N55" s="60" t="s">
        <v>375</v>
      </c>
      <c r="O55" s="4"/>
      <c r="P55" s="4"/>
      <c r="Q55" s="4"/>
    </row>
    <row r="56" spans="1:17" ht="18.649999999999999" customHeight="1">
      <c r="A56" s="4"/>
      <c r="B56" s="12"/>
      <c r="C56" s="4" t="s">
        <v>870</v>
      </c>
      <c r="D56" s="4"/>
      <c r="E56" s="4"/>
      <c r="F56" s="4"/>
      <c r="G56" s="4"/>
      <c r="H56" s="29" t="s">
        <v>89</v>
      </c>
      <c r="I56" s="4" t="s">
        <v>147</v>
      </c>
      <c r="J56" s="22" t="s">
        <v>865</v>
      </c>
      <c r="K56" s="8" t="s">
        <v>562</v>
      </c>
      <c r="L56" s="4" t="s">
        <v>873</v>
      </c>
      <c r="M56" s="55" t="s">
        <v>846</v>
      </c>
      <c r="N56" s="60" t="s">
        <v>375</v>
      </c>
      <c r="O56" s="4"/>
      <c r="P56" s="4"/>
      <c r="Q56" s="4"/>
    </row>
    <row r="57" spans="1:17" ht="18.649999999999999" customHeight="1">
      <c r="A57" s="4"/>
      <c r="B57" s="12"/>
      <c r="C57" s="4" t="s">
        <v>830</v>
      </c>
      <c r="D57" s="4"/>
      <c r="E57" s="4" t="s">
        <v>832</v>
      </c>
      <c r="F57" s="4"/>
      <c r="G57" s="4"/>
      <c r="H57" s="5" t="s">
        <v>5</v>
      </c>
      <c r="I57" s="6" t="s">
        <v>6</v>
      </c>
      <c r="J57" s="22" t="s">
        <v>831</v>
      </c>
      <c r="K57" s="54" t="s">
        <v>562</v>
      </c>
      <c r="L57" s="4">
        <v>121</v>
      </c>
      <c r="M57" s="55" t="s">
        <v>42</v>
      </c>
      <c r="N57" s="60" t="s">
        <v>375</v>
      </c>
      <c r="O57" s="4"/>
      <c r="P57" s="4"/>
      <c r="Q57" s="4"/>
    </row>
    <row r="58" spans="1:17" ht="18.649999999999999" customHeight="1">
      <c r="A58" s="4"/>
      <c r="B58" s="12"/>
      <c r="C58" s="4" t="s">
        <v>833</v>
      </c>
      <c r="D58" s="4"/>
      <c r="E58" s="4" t="s">
        <v>834</v>
      </c>
      <c r="F58" s="4"/>
      <c r="G58" s="4"/>
      <c r="H58" s="5" t="s">
        <v>5</v>
      </c>
      <c r="I58" s="6" t="s">
        <v>6</v>
      </c>
      <c r="J58" s="22" t="s">
        <v>831</v>
      </c>
      <c r="K58" s="54" t="s">
        <v>562</v>
      </c>
      <c r="L58" s="4">
        <v>151</v>
      </c>
      <c r="M58" s="55" t="s">
        <v>42</v>
      </c>
      <c r="N58" s="60" t="s">
        <v>375</v>
      </c>
      <c r="O58" s="4"/>
      <c r="P58" s="4"/>
      <c r="Q58" s="4"/>
    </row>
    <row r="59" spans="1:17" ht="18.649999999999999" customHeight="1">
      <c r="A59" s="4"/>
      <c r="B59" s="12"/>
      <c r="C59" s="4" t="s">
        <v>838</v>
      </c>
      <c r="D59" s="4"/>
      <c r="E59" s="4" t="s">
        <v>839</v>
      </c>
      <c r="F59" s="4"/>
      <c r="G59" s="4"/>
      <c r="H59" s="5" t="s">
        <v>5</v>
      </c>
      <c r="I59" s="6" t="s">
        <v>6</v>
      </c>
      <c r="J59" s="22" t="s">
        <v>831</v>
      </c>
      <c r="K59" s="54" t="s">
        <v>562</v>
      </c>
      <c r="L59" s="4">
        <v>221</v>
      </c>
      <c r="M59" s="55" t="s">
        <v>42</v>
      </c>
      <c r="N59" s="60" t="s">
        <v>375</v>
      </c>
      <c r="O59" s="4"/>
      <c r="P59" s="4"/>
      <c r="Q59" s="4"/>
    </row>
    <row r="60" spans="1:17" ht="18.649999999999999" customHeight="1">
      <c r="A60" s="4"/>
      <c r="B60" s="12"/>
      <c r="C60" s="4" t="s">
        <v>835</v>
      </c>
      <c r="D60" s="4"/>
      <c r="E60" s="4"/>
      <c r="F60" s="4"/>
      <c r="G60" s="4"/>
      <c r="H60" s="5" t="s">
        <v>5</v>
      </c>
      <c r="I60" s="6" t="s">
        <v>6</v>
      </c>
      <c r="J60" s="22" t="s">
        <v>831</v>
      </c>
      <c r="K60" s="54" t="s">
        <v>562</v>
      </c>
      <c r="L60" s="4" t="s">
        <v>836</v>
      </c>
      <c r="M60" s="55" t="s">
        <v>837</v>
      </c>
      <c r="N60" s="60" t="s">
        <v>375</v>
      </c>
      <c r="O60" s="4"/>
      <c r="P60" s="4"/>
      <c r="Q60" s="4"/>
    </row>
    <row r="61" spans="1:17" ht="18.649999999999999" customHeight="1">
      <c r="A61" s="4"/>
      <c r="B61" s="12"/>
      <c r="C61" s="4" t="s">
        <v>840</v>
      </c>
      <c r="D61" s="4"/>
      <c r="E61" s="4" t="s">
        <v>841</v>
      </c>
      <c r="F61" s="4"/>
      <c r="G61" s="4"/>
      <c r="H61" s="5" t="s">
        <v>5</v>
      </c>
      <c r="I61" s="6" t="s">
        <v>6</v>
      </c>
      <c r="J61" s="22" t="s">
        <v>831</v>
      </c>
      <c r="K61" s="54" t="s">
        <v>562</v>
      </c>
      <c r="L61" s="4">
        <v>471</v>
      </c>
      <c r="M61" s="55" t="s">
        <v>42</v>
      </c>
      <c r="N61" s="60" t="s">
        <v>375</v>
      </c>
      <c r="O61" s="4"/>
      <c r="P61" s="4"/>
      <c r="Q61" s="4"/>
    </row>
    <row r="62" spans="1:17" ht="18.649999999999999" customHeight="1">
      <c r="A62" s="4"/>
      <c r="B62" s="12"/>
      <c r="C62" s="4" t="s">
        <v>842</v>
      </c>
      <c r="D62" s="4"/>
      <c r="E62" s="4" t="s">
        <v>843</v>
      </c>
      <c r="F62" s="4"/>
      <c r="G62" s="4"/>
      <c r="H62" s="5" t="s">
        <v>5</v>
      </c>
      <c r="I62" s="6" t="s">
        <v>6</v>
      </c>
      <c r="J62" s="22" t="s">
        <v>831</v>
      </c>
      <c r="K62" s="54" t="s">
        <v>562</v>
      </c>
      <c r="L62" s="4">
        <v>561</v>
      </c>
      <c r="M62" s="55" t="s">
        <v>42</v>
      </c>
      <c r="N62" s="60" t="s">
        <v>375</v>
      </c>
      <c r="O62" s="4"/>
      <c r="P62" s="4"/>
      <c r="Q62" s="4"/>
    </row>
    <row r="63" spans="1:17" ht="18.649999999999999" customHeight="1">
      <c r="A63" s="4"/>
      <c r="B63" s="12"/>
      <c r="C63" s="4" t="s">
        <v>844</v>
      </c>
      <c r="D63" s="4"/>
      <c r="E63" s="4"/>
      <c r="F63" s="4"/>
      <c r="G63" s="4"/>
      <c r="H63" s="5" t="s">
        <v>5</v>
      </c>
      <c r="I63" s="6" t="s">
        <v>6</v>
      </c>
      <c r="J63" s="22" t="s">
        <v>831</v>
      </c>
      <c r="K63" s="54" t="s">
        <v>562</v>
      </c>
      <c r="L63" s="4" t="s">
        <v>845</v>
      </c>
      <c r="M63" s="55" t="s">
        <v>846</v>
      </c>
      <c r="N63" s="60" t="s">
        <v>375</v>
      </c>
      <c r="O63" s="4"/>
      <c r="P63" s="4"/>
      <c r="Q63" s="4"/>
    </row>
    <row r="64" spans="1:17" ht="18.649999999999999" customHeight="1">
      <c r="A64" s="4"/>
      <c r="B64" s="12"/>
      <c r="C64" s="4" t="s">
        <v>847</v>
      </c>
      <c r="D64" s="4"/>
      <c r="E64" s="4" t="s">
        <v>848</v>
      </c>
      <c r="F64" s="4"/>
      <c r="G64" s="4"/>
      <c r="H64" s="5" t="s">
        <v>5</v>
      </c>
      <c r="I64" s="6" t="s">
        <v>6</v>
      </c>
      <c r="J64" s="6" t="s">
        <v>40</v>
      </c>
      <c r="K64" s="54" t="s">
        <v>562</v>
      </c>
      <c r="L64" s="4">
        <v>223</v>
      </c>
      <c r="M64" s="55" t="s">
        <v>20</v>
      </c>
      <c r="N64" s="56" t="s">
        <v>63</v>
      </c>
      <c r="O64" s="4"/>
      <c r="P64" s="4"/>
      <c r="Q64" s="4"/>
    </row>
    <row r="65" spans="1:17" ht="18.649999999999999" customHeight="1">
      <c r="A65" s="4"/>
      <c r="B65" s="12"/>
      <c r="C65" s="4" t="s">
        <v>849</v>
      </c>
      <c r="D65" s="4"/>
      <c r="E65" s="4" t="s">
        <v>850</v>
      </c>
      <c r="F65" s="4"/>
      <c r="G65" s="4"/>
      <c r="H65" s="5" t="s">
        <v>5</v>
      </c>
      <c r="I65" s="6" t="s">
        <v>6</v>
      </c>
      <c r="J65" s="6" t="s">
        <v>40</v>
      </c>
      <c r="K65" s="54" t="s">
        <v>562</v>
      </c>
      <c r="L65" s="4">
        <v>223</v>
      </c>
      <c r="M65" s="55" t="s">
        <v>20</v>
      </c>
      <c r="N65" s="56" t="s">
        <v>64</v>
      </c>
      <c r="O65" s="4"/>
      <c r="P65" s="4"/>
      <c r="Q65" s="4"/>
    </row>
    <row r="66" spans="1:17" ht="18.649999999999999" customHeight="1">
      <c r="A66" s="4"/>
      <c r="B66" s="12"/>
      <c r="C66" s="4" t="s">
        <v>851</v>
      </c>
      <c r="D66" s="4"/>
      <c r="E66" s="4"/>
      <c r="F66" s="4"/>
      <c r="G66" s="4"/>
      <c r="H66" s="5" t="s">
        <v>5</v>
      </c>
      <c r="I66" s="6" t="s">
        <v>6</v>
      </c>
      <c r="J66" s="6" t="s">
        <v>40</v>
      </c>
      <c r="K66" s="54" t="s">
        <v>562</v>
      </c>
      <c r="L66" s="4">
        <v>333</v>
      </c>
      <c r="M66" s="55" t="s">
        <v>20</v>
      </c>
      <c r="N66" s="56" t="s">
        <v>64</v>
      </c>
      <c r="O66" s="4"/>
      <c r="P66" s="4"/>
      <c r="Q66" s="4"/>
    </row>
    <row r="67" spans="1:17" ht="18.649999999999999" customHeight="1">
      <c r="A67" s="4"/>
      <c r="B67" s="12"/>
      <c r="C67" s="4" t="s">
        <v>852</v>
      </c>
      <c r="D67" s="4"/>
      <c r="E67" s="4"/>
      <c r="F67" s="4"/>
      <c r="G67" s="4"/>
      <c r="H67" s="5" t="s">
        <v>5</v>
      </c>
      <c r="I67" s="6" t="s">
        <v>6</v>
      </c>
      <c r="J67" s="6" t="s">
        <v>40</v>
      </c>
      <c r="K67" s="54" t="s">
        <v>562</v>
      </c>
      <c r="L67" s="4">
        <v>473</v>
      </c>
      <c r="M67" s="55" t="s">
        <v>20</v>
      </c>
      <c r="N67" s="56" t="s">
        <v>64</v>
      </c>
      <c r="O67" s="4"/>
      <c r="P67" s="4"/>
      <c r="Q67" s="4"/>
    </row>
    <row r="68" spans="1:17" ht="18.649999999999999" customHeight="1">
      <c r="A68" s="6" t="s">
        <v>136</v>
      </c>
      <c r="B68" s="6"/>
      <c r="C68" s="76" t="s">
        <v>637</v>
      </c>
      <c r="D68" s="6"/>
      <c r="E68" s="6" t="s">
        <v>617</v>
      </c>
      <c r="F68" s="6"/>
      <c r="G68" s="62" t="s">
        <v>618</v>
      </c>
      <c r="H68" s="5" t="s">
        <v>5</v>
      </c>
      <c r="I68" s="6" t="s">
        <v>6</v>
      </c>
      <c r="J68" s="6" t="s">
        <v>40</v>
      </c>
      <c r="K68" s="54" t="s">
        <v>562</v>
      </c>
      <c r="L68" s="6">
        <v>104</v>
      </c>
      <c r="M68" s="55" t="s">
        <v>20</v>
      </c>
      <c r="N68" s="56" t="s">
        <v>62</v>
      </c>
      <c r="O68" s="56"/>
      <c r="P68" s="56"/>
      <c r="Q68" s="56"/>
    </row>
    <row r="69" spans="1:17" ht="18.649999999999999" customHeight="1">
      <c r="A69" s="6"/>
      <c r="B69" s="6"/>
      <c r="C69" s="6" t="s">
        <v>592</v>
      </c>
      <c r="D69" s="6"/>
      <c r="E69" s="6" t="s">
        <v>9</v>
      </c>
      <c r="F69" s="6"/>
      <c r="G69" s="6"/>
      <c r="H69" s="5" t="s">
        <v>5</v>
      </c>
      <c r="I69" s="6" t="s">
        <v>6</v>
      </c>
      <c r="J69" s="6" t="s">
        <v>80</v>
      </c>
      <c r="K69" s="54" t="s">
        <v>78</v>
      </c>
      <c r="L69" s="6">
        <v>104</v>
      </c>
      <c r="M69" s="55" t="s">
        <v>20</v>
      </c>
      <c r="N69" s="56" t="s">
        <v>63</v>
      </c>
      <c r="O69" s="56"/>
      <c r="P69" s="56"/>
      <c r="Q69" s="56"/>
    </row>
    <row r="70" spans="1:17" ht="18.649999999999999" customHeight="1">
      <c r="A70" s="18"/>
      <c r="B70" s="18"/>
      <c r="C70" s="74" t="s">
        <v>550</v>
      </c>
      <c r="D70" s="18"/>
      <c r="E70" s="18" t="s">
        <v>558</v>
      </c>
      <c r="F70" s="18" t="s">
        <v>878</v>
      </c>
      <c r="G70" s="18"/>
      <c r="H70" s="19" t="s">
        <v>5</v>
      </c>
      <c r="I70" s="18" t="s">
        <v>6</v>
      </c>
      <c r="J70" s="18" t="s">
        <v>40</v>
      </c>
      <c r="K70" s="30" t="s">
        <v>562</v>
      </c>
      <c r="L70" s="18">
        <v>104</v>
      </c>
      <c r="M70" s="28" t="s">
        <v>20</v>
      </c>
      <c r="N70" s="20" t="s">
        <v>63</v>
      </c>
      <c r="O70" s="27"/>
      <c r="P70" s="20"/>
      <c r="Q70" s="20"/>
    </row>
    <row r="71" spans="1:17" ht="18.649999999999999" customHeight="1">
      <c r="A71" s="18"/>
      <c r="B71" s="18"/>
      <c r="C71" s="78" t="s">
        <v>661</v>
      </c>
      <c r="D71" s="18"/>
      <c r="E71" s="18" t="s">
        <v>159</v>
      </c>
      <c r="F71" s="18"/>
      <c r="G71" s="18"/>
      <c r="H71" s="19" t="s">
        <v>5</v>
      </c>
      <c r="I71" s="18" t="s">
        <v>147</v>
      </c>
      <c r="J71" s="18" t="s">
        <v>161</v>
      </c>
      <c r="K71" s="30" t="s">
        <v>562</v>
      </c>
      <c r="L71" s="18">
        <v>104</v>
      </c>
      <c r="M71" s="28" t="s">
        <v>92</v>
      </c>
      <c r="N71" s="20" t="s">
        <v>160</v>
      </c>
      <c r="O71" s="20"/>
      <c r="P71" s="20"/>
      <c r="Q71" s="20"/>
    </row>
    <row r="72" spans="1:17" ht="18.649999999999999" customHeight="1">
      <c r="A72" s="6" t="s">
        <v>545</v>
      </c>
      <c r="B72" s="6"/>
      <c r="C72" s="6" t="s">
        <v>705</v>
      </c>
      <c r="D72" s="6"/>
      <c r="E72" s="6" t="s">
        <v>704</v>
      </c>
      <c r="F72" s="6"/>
      <c r="G72" s="62" t="s">
        <v>630</v>
      </c>
      <c r="H72" s="5" t="s">
        <v>89</v>
      </c>
      <c r="I72" s="6" t="s">
        <v>147</v>
      </c>
      <c r="J72" s="6" t="s">
        <v>141</v>
      </c>
      <c r="K72" s="54" t="s">
        <v>78</v>
      </c>
      <c r="L72" s="6">
        <v>105</v>
      </c>
      <c r="M72" s="55" t="s">
        <v>92</v>
      </c>
      <c r="N72" s="56" t="s">
        <v>364</v>
      </c>
      <c r="O72" s="68"/>
      <c r="P72" s="56"/>
      <c r="Q72" s="56"/>
    </row>
    <row r="73" spans="1:17" ht="18.649999999999999" customHeight="1">
      <c r="A73" s="12"/>
      <c r="B73" s="12"/>
      <c r="C73" s="12" t="s">
        <v>555</v>
      </c>
      <c r="D73" s="12"/>
      <c r="E73" s="12"/>
      <c r="F73" s="12"/>
      <c r="G73" s="12"/>
      <c r="H73" s="13" t="s">
        <v>89</v>
      </c>
      <c r="I73" s="12" t="s">
        <v>6</v>
      </c>
      <c r="J73" s="14" t="s">
        <v>98</v>
      </c>
      <c r="K73" s="15" t="s">
        <v>562</v>
      </c>
      <c r="L73" s="12">
        <v>105</v>
      </c>
      <c r="M73" s="28" t="s">
        <v>20</v>
      </c>
      <c r="N73" s="16" t="s">
        <v>97</v>
      </c>
      <c r="O73" s="34"/>
      <c r="P73" s="12"/>
      <c r="Q73" s="12"/>
    </row>
    <row r="74" spans="1:17" ht="18.649999999999999" customHeight="1">
      <c r="A74" s="6"/>
      <c r="B74" s="6"/>
      <c r="C74" s="6" t="s">
        <v>608</v>
      </c>
      <c r="D74" s="6"/>
      <c r="E74" s="6" t="s">
        <v>711</v>
      </c>
      <c r="F74" s="6"/>
      <c r="G74" s="6"/>
      <c r="H74" s="5" t="s">
        <v>89</v>
      </c>
      <c r="I74" s="6" t="s">
        <v>147</v>
      </c>
      <c r="J74" s="6" t="s">
        <v>141</v>
      </c>
      <c r="K74" s="54" t="s">
        <v>78</v>
      </c>
      <c r="L74" s="6">
        <v>105</v>
      </c>
      <c r="M74" s="55" t="s">
        <v>44</v>
      </c>
      <c r="N74" s="56" t="s">
        <v>364</v>
      </c>
      <c r="O74" s="68"/>
      <c r="P74" s="56"/>
      <c r="Q74" s="56"/>
    </row>
    <row r="75" spans="1:17" ht="18.649999999999999" customHeight="1">
      <c r="A75" s="18"/>
      <c r="B75" s="18"/>
      <c r="C75" s="18" t="s">
        <v>579</v>
      </c>
      <c r="D75" s="18"/>
      <c r="E75" s="18"/>
      <c r="F75" s="18"/>
      <c r="G75" s="18"/>
      <c r="H75" s="13" t="s">
        <v>89</v>
      </c>
      <c r="I75" s="12" t="s">
        <v>6</v>
      </c>
      <c r="J75" s="14" t="s">
        <v>98</v>
      </c>
      <c r="K75" s="15" t="s">
        <v>562</v>
      </c>
      <c r="L75" s="12">
        <v>105</v>
      </c>
      <c r="M75" s="28" t="s">
        <v>44</v>
      </c>
      <c r="N75" s="16" t="s">
        <v>61</v>
      </c>
      <c r="O75" s="20"/>
      <c r="P75" s="20"/>
      <c r="Q75" s="20"/>
    </row>
    <row r="76" spans="1:17" ht="18.649999999999999" customHeight="1">
      <c r="A76" s="76" t="s">
        <v>538</v>
      </c>
      <c r="B76" s="6"/>
      <c r="C76" s="6" t="s">
        <v>271</v>
      </c>
      <c r="D76" s="6"/>
      <c r="E76" s="6" t="s">
        <v>557</v>
      </c>
      <c r="F76" s="6"/>
      <c r="G76" s="6"/>
      <c r="H76" s="5" t="s">
        <v>89</v>
      </c>
      <c r="I76" s="6" t="s">
        <v>147</v>
      </c>
      <c r="J76" s="6" t="s">
        <v>141</v>
      </c>
      <c r="K76" s="54" t="s">
        <v>78</v>
      </c>
      <c r="L76" s="6">
        <v>105</v>
      </c>
      <c r="M76" s="55" t="s">
        <v>92</v>
      </c>
      <c r="N76" s="56" t="s">
        <v>367</v>
      </c>
      <c r="O76" s="69"/>
      <c r="P76" s="56">
        <v>112</v>
      </c>
      <c r="Q76" s="56"/>
    </row>
    <row r="77" spans="1:17" ht="18.649999999999999" customHeight="1">
      <c r="A77" s="6"/>
      <c r="B77" s="6"/>
      <c r="C77" s="6" t="s">
        <v>269</v>
      </c>
      <c r="D77" s="6"/>
      <c r="E77" s="6"/>
      <c r="F77" s="6"/>
      <c r="G77" s="6"/>
      <c r="H77" s="5" t="s">
        <v>89</v>
      </c>
      <c r="I77" s="6" t="s">
        <v>147</v>
      </c>
      <c r="J77" s="6" t="s">
        <v>141</v>
      </c>
      <c r="K77" s="54" t="s">
        <v>78</v>
      </c>
      <c r="L77" s="6">
        <v>105</v>
      </c>
      <c r="M77" s="55" t="s">
        <v>92</v>
      </c>
      <c r="N77" s="56" t="s">
        <v>367</v>
      </c>
      <c r="O77" s="68"/>
      <c r="P77" s="56"/>
      <c r="Q77" s="56"/>
    </row>
    <row r="78" spans="1:17" ht="18.649999999999999" customHeight="1">
      <c r="A78" s="6"/>
      <c r="B78" s="6"/>
      <c r="C78" s="6" t="s">
        <v>783</v>
      </c>
      <c r="D78" s="53"/>
      <c r="E78" s="6"/>
      <c r="F78" s="6"/>
      <c r="G78" s="6"/>
      <c r="H78" s="5" t="s">
        <v>89</v>
      </c>
      <c r="I78" s="4" t="s">
        <v>790</v>
      </c>
      <c r="J78" s="6" t="s">
        <v>782</v>
      </c>
      <c r="K78" s="54" t="str">
        <f>VLOOKUP(J78,材質!A:B,2,0)</f>
        <v xml:space="preserve">-55 to 105℃  </v>
      </c>
      <c r="L78" s="6">
        <v>105</v>
      </c>
      <c r="M78" s="55" t="s">
        <v>92</v>
      </c>
      <c r="N78" s="56" t="s">
        <v>787</v>
      </c>
      <c r="O78" s="57"/>
      <c r="P78" s="56"/>
      <c r="Q78" s="53"/>
    </row>
    <row r="79" spans="1:17" ht="18.649999999999999" customHeight="1">
      <c r="A79" s="6"/>
      <c r="B79" s="6"/>
      <c r="C79" s="6" t="s">
        <v>270</v>
      </c>
      <c r="D79" s="6"/>
      <c r="E79" s="6" t="s">
        <v>712</v>
      </c>
      <c r="F79" s="6"/>
      <c r="G79" s="6"/>
      <c r="H79" s="5" t="s">
        <v>89</v>
      </c>
      <c r="I79" s="6" t="s">
        <v>147</v>
      </c>
      <c r="J79" s="6" t="s">
        <v>141</v>
      </c>
      <c r="K79" s="54" t="s">
        <v>78</v>
      </c>
      <c r="L79" s="6">
        <v>105</v>
      </c>
      <c r="M79" s="55" t="s">
        <v>44</v>
      </c>
      <c r="N79" s="56" t="s">
        <v>367</v>
      </c>
      <c r="O79" s="68"/>
      <c r="P79" s="56"/>
      <c r="Q79" s="56"/>
    </row>
    <row r="80" spans="1:17" ht="18.649999999999999" customHeight="1">
      <c r="A80" s="78" t="s">
        <v>399</v>
      </c>
      <c r="B80" s="18"/>
      <c r="C80" s="18"/>
      <c r="D80" s="18"/>
      <c r="E80" s="18" t="s">
        <v>151</v>
      </c>
      <c r="F80" s="18"/>
      <c r="G80" s="18"/>
      <c r="H80" s="19" t="s">
        <v>5</v>
      </c>
      <c r="I80" s="18" t="s">
        <v>147</v>
      </c>
      <c r="J80" s="18" t="s">
        <v>141</v>
      </c>
      <c r="K80" s="30" t="s">
        <v>78</v>
      </c>
      <c r="L80" s="18">
        <v>105</v>
      </c>
      <c r="M80" s="28" t="s">
        <v>92</v>
      </c>
      <c r="N80" s="20" t="s">
        <v>152</v>
      </c>
      <c r="O80" s="65"/>
      <c r="P80" s="20"/>
      <c r="Q80" s="20"/>
    </row>
    <row r="81" spans="1:17" ht="18.649999999999999" customHeight="1">
      <c r="A81" s="6"/>
      <c r="B81" s="6"/>
      <c r="C81" s="6" t="s">
        <v>693</v>
      </c>
      <c r="D81" s="53"/>
      <c r="E81" s="6" t="s">
        <v>151</v>
      </c>
      <c r="F81" s="6"/>
      <c r="G81" s="6"/>
      <c r="H81" s="5" t="s">
        <v>5</v>
      </c>
      <c r="I81" s="6" t="s">
        <v>147</v>
      </c>
      <c r="J81" s="6" t="s">
        <v>141</v>
      </c>
      <c r="K81" s="54" t="s">
        <v>78</v>
      </c>
      <c r="L81" s="6">
        <v>105</v>
      </c>
      <c r="M81" s="55" t="s">
        <v>92</v>
      </c>
      <c r="N81" s="56" t="s">
        <v>63</v>
      </c>
      <c r="O81" s="57"/>
      <c r="P81" s="56"/>
      <c r="Q81" s="53"/>
    </row>
    <row r="82" spans="1:17" ht="18.649999999999999" customHeight="1">
      <c r="A82" s="75" t="s">
        <v>598</v>
      </c>
      <c r="B82" s="12"/>
      <c r="C82" s="12"/>
      <c r="D82" s="12"/>
      <c r="E82" s="12" t="s">
        <v>129</v>
      </c>
      <c r="F82" s="12"/>
      <c r="G82" s="12"/>
      <c r="H82" s="13" t="s">
        <v>89</v>
      </c>
      <c r="I82" s="18" t="s">
        <v>147</v>
      </c>
      <c r="J82" s="14" t="s">
        <v>43</v>
      </c>
      <c r="K82" s="15" t="s">
        <v>78</v>
      </c>
      <c r="L82" s="12">
        <v>105</v>
      </c>
      <c r="M82" s="28" t="s">
        <v>20</v>
      </c>
      <c r="N82" s="16" t="s">
        <v>134</v>
      </c>
      <c r="O82" s="34"/>
      <c r="P82" s="12"/>
      <c r="Q82" s="12"/>
    </row>
    <row r="83" spans="1:17" ht="18.649999999999999" customHeight="1">
      <c r="A83" s="6"/>
      <c r="B83" s="6"/>
      <c r="C83" s="6" t="s">
        <v>707</v>
      </c>
      <c r="D83" s="53"/>
      <c r="E83" s="6"/>
      <c r="F83" s="6"/>
      <c r="G83" s="6"/>
      <c r="H83" s="5" t="s">
        <v>89</v>
      </c>
      <c r="I83" s="6" t="s">
        <v>147</v>
      </c>
      <c r="J83" s="6" t="s">
        <v>141</v>
      </c>
      <c r="K83" s="54" t="s">
        <v>78</v>
      </c>
      <c r="L83" s="6">
        <v>105</v>
      </c>
      <c r="M83" s="55" t="s">
        <v>92</v>
      </c>
      <c r="N83" s="56" t="s">
        <v>706</v>
      </c>
      <c r="O83" s="57"/>
      <c r="P83" s="56"/>
      <c r="Q83" s="53"/>
    </row>
    <row r="84" spans="1:17" ht="18.649999999999999" customHeight="1">
      <c r="A84" s="6"/>
      <c r="B84" s="6"/>
      <c r="C84" s="6" t="s">
        <v>267</v>
      </c>
      <c r="D84" s="6"/>
      <c r="E84" s="6"/>
      <c r="F84" s="6"/>
      <c r="G84" s="6"/>
      <c r="H84" s="5" t="s">
        <v>89</v>
      </c>
      <c r="I84" s="6" t="s">
        <v>147</v>
      </c>
      <c r="J84" s="6" t="s">
        <v>363</v>
      </c>
      <c r="K84" s="54" t="s">
        <v>359</v>
      </c>
      <c r="L84" s="6">
        <v>105</v>
      </c>
      <c r="M84" s="55" t="s">
        <v>92</v>
      </c>
      <c r="N84" s="56" t="s">
        <v>360</v>
      </c>
      <c r="O84" s="68"/>
      <c r="P84" s="56"/>
      <c r="Q84" s="56"/>
    </row>
    <row r="85" spans="1:17" ht="18.649999999999999" customHeight="1">
      <c r="A85" s="6"/>
      <c r="B85" s="6"/>
      <c r="C85" s="6" t="s">
        <v>273</v>
      </c>
      <c r="D85" s="6"/>
      <c r="E85" s="6"/>
      <c r="F85" s="6"/>
      <c r="G85" s="6"/>
      <c r="H85" s="5" t="s">
        <v>89</v>
      </c>
      <c r="I85" s="6" t="s">
        <v>147</v>
      </c>
      <c r="J85" s="6" t="s">
        <v>141</v>
      </c>
      <c r="K85" s="54" t="s">
        <v>78</v>
      </c>
      <c r="L85" s="6">
        <v>105</v>
      </c>
      <c r="M85" s="55" t="s">
        <v>44</v>
      </c>
      <c r="N85" s="56" t="s">
        <v>360</v>
      </c>
      <c r="O85" s="68"/>
      <c r="P85" s="56"/>
      <c r="Q85" s="56"/>
    </row>
    <row r="86" spans="1:17" ht="18.649999999999999" customHeight="1">
      <c r="A86" s="6"/>
      <c r="B86" s="6"/>
      <c r="C86" s="6" t="s">
        <v>275</v>
      </c>
      <c r="D86" s="6"/>
      <c r="E86" s="6"/>
      <c r="F86" s="6"/>
      <c r="G86" s="6"/>
      <c r="H86" s="5" t="s">
        <v>89</v>
      </c>
      <c r="I86" s="6" t="s">
        <v>147</v>
      </c>
      <c r="J86" s="6" t="s">
        <v>363</v>
      </c>
      <c r="K86" s="54" t="s">
        <v>359</v>
      </c>
      <c r="L86" s="6">
        <v>105</v>
      </c>
      <c r="M86" s="55" t="s">
        <v>44</v>
      </c>
      <c r="N86" s="56" t="s">
        <v>360</v>
      </c>
      <c r="O86" s="68"/>
      <c r="P86" s="56"/>
      <c r="Q86" s="56"/>
    </row>
    <row r="87" spans="1:17" ht="18.649999999999999" customHeight="1">
      <c r="A87" s="6"/>
      <c r="B87" s="6"/>
      <c r="C87" s="6" t="s">
        <v>266</v>
      </c>
      <c r="D87" s="6"/>
      <c r="E87" s="6"/>
      <c r="F87" s="6"/>
      <c r="G87" s="6"/>
      <c r="H87" s="5" t="s">
        <v>89</v>
      </c>
      <c r="I87" s="6" t="s">
        <v>147</v>
      </c>
      <c r="J87" s="6" t="s">
        <v>363</v>
      </c>
      <c r="K87" s="54" t="s">
        <v>359</v>
      </c>
      <c r="L87" s="6">
        <v>105</v>
      </c>
      <c r="M87" s="55" t="s">
        <v>44</v>
      </c>
      <c r="N87" s="56" t="s">
        <v>360</v>
      </c>
      <c r="O87" s="68"/>
      <c r="P87" s="56"/>
      <c r="Q87" s="56"/>
    </row>
    <row r="88" spans="1:17" ht="18.649999999999999" customHeight="1">
      <c r="A88" s="12"/>
      <c r="B88" s="12"/>
      <c r="C88" s="12" t="s">
        <v>99</v>
      </c>
      <c r="D88" s="12"/>
      <c r="E88" s="12"/>
      <c r="F88" s="12"/>
      <c r="G88" s="12"/>
      <c r="H88" s="13" t="s">
        <v>89</v>
      </c>
      <c r="I88" s="12" t="s">
        <v>6</v>
      </c>
      <c r="J88" s="14" t="s">
        <v>43</v>
      </c>
      <c r="K88" s="15" t="s">
        <v>78</v>
      </c>
      <c r="L88" s="12">
        <v>105</v>
      </c>
      <c r="M88" s="28" t="s">
        <v>20</v>
      </c>
      <c r="N88" s="16" t="s">
        <v>102</v>
      </c>
      <c r="O88" s="34"/>
      <c r="P88" s="12"/>
      <c r="Q88" s="12"/>
    </row>
    <row r="89" spans="1:17" ht="18.649999999999999" customHeight="1">
      <c r="A89" s="6" t="s">
        <v>552</v>
      </c>
      <c r="B89" s="6"/>
      <c r="C89" s="6" t="s">
        <v>272</v>
      </c>
      <c r="D89" s="6"/>
      <c r="E89" s="6" t="s">
        <v>556</v>
      </c>
      <c r="F89" s="6"/>
      <c r="G89" s="62" t="s">
        <v>624</v>
      </c>
      <c r="H89" s="5" t="s">
        <v>89</v>
      </c>
      <c r="I89" s="6" t="s">
        <v>147</v>
      </c>
      <c r="J89" s="6" t="s">
        <v>141</v>
      </c>
      <c r="K89" s="54" t="s">
        <v>78</v>
      </c>
      <c r="L89" s="6">
        <v>105</v>
      </c>
      <c r="M89" s="55" t="s">
        <v>92</v>
      </c>
      <c r="N89" s="56" t="s">
        <v>361</v>
      </c>
      <c r="O89" s="68"/>
      <c r="P89" s="56"/>
      <c r="Q89" s="56"/>
    </row>
    <row r="90" spans="1:17" ht="18.649999999999999" customHeight="1">
      <c r="A90" s="6"/>
      <c r="B90" s="6"/>
      <c r="C90" s="6" t="s">
        <v>708</v>
      </c>
      <c r="D90" s="53"/>
      <c r="E90" s="6"/>
      <c r="F90" s="6"/>
      <c r="G90" s="62" t="s">
        <v>624</v>
      </c>
      <c r="H90" s="5" t="s">
        <v>89</v>
      </c>
      <c r="I90" s="6" t="s">
        <v>147</v>
      </c>
      <c r="J90" s="6" t="s">
        <v>141</v>
      </c>
      <c r="K90" s="54" t="s">
        <v>78</v>
      </c>
      <c r="L90" s="6">
        <v>105</v>
      </c>
      <c r="M90" s="55" t="s">
        <v>92</v>
      </c>
      <c r="N90" s="56" t="s">
        <v>361</v>
      </c>
      <c r="O90" s="57"/>
      <c r="P90" s="56"/>
      <c r="Q90" s="53"/>
    </row>
    <row r="91" spans="1:17" ht="18.649999999999999" customHeight="1">
      <c r="A91" s="6"/>
      <c r="B91" s="6"/>
      <c r="C91" s="6" t="s">
        <v>606</v>
      </c>
      <c r="D91" s="6"/>
      <c r="E91" s="6"/>
      <c r="F91" s="6"/>
      <c r="G91" s="6"/>
      <c r="H91" s="5" t="s">
        <v>89</v>
      </c>
      <c r="I91" s="6" t="s">
        <v>147</v>
      </c>
      <c r="J91" s="6" t="s">
        <v>363</v>
      </c>
      <c r="K91" s="54" t="s">
        <v>359</v>
      </c>
      <c r="L91" s="6">
        <v>105</v>
      </c>
      <c r="M91" s="55" t="s">
        <v>92</v>
      </c>
      <c r="N91" s="56" t="s">
        <v>361</v>
      </c>
      <c r="O91" s="68"/>
      <c r="P91" s="56"/>
      <c r="Q91" s="56"/>
    </row>
    <row r="92" spans="1:17" ht="18.649999999999999" customHeight="1">
      <c r="A92" s="18"/>
      <c r="B92" s="18"/>
      <c r="C92" s="74" t="s">
        <v>599</v>
      </c>
      <c r="D92" s="18"/>
      <c r="E92" s="18" t="s">
        <v>410</v>
      </c>
      <c r="F92" s="18"/>
      <c r="G92" s="18"/>
      <c r="H92" s="13" t="s">
        <v>89</v>
      </c>
      <c r="I92" s="12" t="s">
        <v>147</v>
      </c>
      <c r="J92" s="18" t="s">
        <v>40</v>
      </c>
      <c r="K92" s="30" t="s">
        <v>562</v>
      </c>
      <c r="L92" s="18">
        <v>105</v>
      </c>
      <c r="M92" s="28" t="s">
        <v>92</v>
      </c>
      <c r="N92" s="20" t="s">
        <v>65</v>
      </c>
      <c r="O92" s="33"/>
      <c r="P92" s="20"/>
      <c r="Q92" s="20"/>
    </row>
    <row r="93" spans="1:17" ht="18.649999999999999" customHeight="1">
      <c r="A93" s="6"/>
      <c r="B93" s="6"/>
      <c r="C93" s="6" t="s">
        <v>607</v>
      </c>
      <c r="D93" s="6"/>
      <c r="E93" s="6"/>
      <c r="F93" s="6"/>
      <c r="G93" s="6"/>
      <c r="H93" s="5" t="s">
        <v>89</v>
      </c>
      <c r="I93" s="6" t="s">
        <v>147</v>
      </c>
      <c r="J93" s="6" t="s">
        <v>141</v>
      </c>
      <c r="K93" s="54" t="s">
        <v>78</v>
      </c>
      <c r="L93" s="6">
        <v>105</v>
      </c>
      <c r="M93" s="55" t="s">
        <v>44</v>
      </c>
      <c r="N93" s="56" t="s">
        <v>361</v>
      </c>
      <c r="O93" s="68"/>
      <c r="P93" s="56"/>
      <c r="Q93" s="56"/>
    </row>
    <row r="94" spans="1:17" ht="18.649999999999999" customHeight="1">
      <c r="A94" s="6"/>
      <c r="B94" s="6"/>
      <c r="C94" s="6" t="s">
        <v>274</v>
      </c>
      <c r="D94" s="6"/>
      <c r="E94" s="6"/>
      <c r="F94" s="6"/>
      <c r="G94" s="6"/>
      <c r="H94" s="5" t="s">
        <v>89</v>
      </c>
      <c r="I94" s="6" t="s">
        <v>147</v>
      </c>
      <c r="J94" s="6" t="s">
        <v>363</v>
      </c>
      <c r="K94" s="54" t="s">
        <v>359</v>
      </c>
      <c r="L94" s="6">
        <v>105</v>
      </c>
      <c r="M94" s="55" t="s">
        <v>44</v>
      </c>
      <c r="N94" s="56" t="s">
        <v>361</v>
      </c>
      <c r="O94" s="68"/>
      <c r="P94" s="56"/>
      <c r="Q94" s="56"/>
    </row>
    <row r="95" spans="1:17" ht="18.649999999999999" customHeight="1">
      <c r="A95" s="6"/>
      <c r="B95" s="6"/>
      <c r="C95" s="6" t="s">
        <v>268</v>
      </c>
      <c r="D95" s="6"/>
      <c r="E95" s="6"/>
      <c r="F95" s="6"/>
      <c r="G95" s="6"/>
      <c r="H95" s="5" t="s">
        <v>89</v>
      </c>
      <c r="I95" s="6" t="s">
        <v>147</v>
      </c>
      <c r="J95" s="6" t="s">
        <v>363</v>
      </c>
      <c r="K95" s="54" t="s">
        <v>359</v>
      </c>
      <c r="L95" s="6">
        <v>105</v>
      </c>
      <c r="M95" s="55" t="s">
        <v>44</v>
      </c>
      <c r="N95" s="56" t="s">
        <v>361</v>
      </c>
      <c r="O95" s="68"/>
      <c r="P95" s="56"/>
      <c r="Q95" s="56"/>
    </row>
    <row r="96" spans="1:17" ht="18.649999999999999" customHeight="1">
      <c r="A96" s="12"/>
      <c r="B96" s="18"/>
      <c r="C96" s="18"/>
      <c r="D96" s="18" t="s">
        <v>649</v>
      </c>
      <c r="E96" s="18"/>
      <c r="F96" s="18"/>
      <c r="G96" s="18"/>
      <c r="H96" s="19" t="s">
        <v>89</v>
      </c>
      <c r="I96" s="18"/>
      <c r="J96" s="18" t="s">
        <v>141</v>
      </c>
      <c r="K96" s="30" t="s">
        <v>78</v>
      </c>
      <c r="L96" s="18">
        <v>106</v>
      </c>
      <c r="M96" s="28" t="s">
        <v>44</v>
      </c>
      <c r="N96" s="20" t="s">
        <v>364</v>
      </c>
      <c r="O96" s="20"/>
      <c r="P96" s="20"/>
      <c r="Q96" s="20"/>
    </row>
    <row r="97" spans="1:17" ht="18.649999999999999" customHeight="1">
      <c r="A97" s="79" t="s">
        <v>88</v>
      </c>
      <c r="B97" s="18"/>
      <c r="C97" s="18" t="s">
        <v>265</v>
      </c>
      <c r="D97" s="18"/>
      <c r="E97" s="18" t="s">
        <v>409</v>
      </c>
      <c r="F97" s="18"/>
      <c r="G97" s="18"/>
      <c r="H97" s="19" t="s">
        <v>89</v>
      </c>
      <c r="I97" s="18" t="s">
        <v>147</v>
      </c>
      <c r="J97" s="18" t="s">
        <v>141</v>
      </c>
      <c r="K97" s="30" t="s">
        <v>78</v>
      </c>
      <c r="L97" s="18">
        <v>106</v>
      </c>
      <c r="M97" s="28" t="s">
        <v>44</v>
      </c>
      <c r="N97" s="20" t="s">
        <v>364</v>
      </c>
      <c r="O97" s="66"/>
      <c r="P97" s="20"/>
      <c r="Q97" s="20"/>
    </row>
    <row r="98" spans="1:17" ht="18.649999999999999" customHeight="1">
      <c r="A98" s="6"/>
      <c r="B98" s="6"/>
      <c r="C98" s="6" t="s">
        <v>264</v>
      </c>
      <c r="D98" s="6"/>
      <c r="E98" s="6"/>
      <c r="F98" s="6"/>
      <c r="G98" s="6"/>
      <c r="H98" s="5" t="s">
        <v>89</v>
      </c>
      <c r="I98" s="6" t="s">
        <v>147</v>
      </c>
      <c r="J98" s="6" t="s">
        <v>141</v>
      </c>
      <c r="K98" s="54" t="s">
        <v>78</v>
      </c>
      <c r="L98" s="6">
        <v>106</v>
      </c>
      <c r="M98" s="55" t="s">
        <v>44</v>
      </c>
      <c r="N98" s="56" t="s">
        <v>366</v>
      </c>
      <c r="O98" s="56"/>
      <c r="P98" s="56"/>
      <c r="Q98" s="56"/>
    </row>
    <row r="99" spans="1:17" ht="18.649999999999999" customHeight="1">
      <c r="A99" s="6"/>
      <c r="B99" s="6"/>
      <c r="C99" s="6" t="s">
        <v>262</v>
      </c>
      <c r="D99" s="6"/>
      <c r="E99" s="6"/>
      <c r="F99" s="6"/>
      <c r="G99" s="6"/>
      <c r="H99" s="5" t="s">
        <v>89</v>
      </c>
      <c r="I99" s="6" t="s">
        <v>147</v>
      </c>
      <c r="J99" s="6" t="s">
        <v>363</v>
      </c>
      <c r="K99" s="54" t="s">
        <v>359</v>
      </c>
      <c r="L99" s="6">
        <v>106</v>
      </c>
      <c r="M99" s="55" t="s">
        <v>44</v>
      </c>
      <c r="N99" s="56" t="s">
        <v>366</v>
      </c>
      <c r="O99" s="56"/>
      <c r="P99" s="56"/>
      <c r="Q99" s="56"/>
    </row>
    <row r="100" spans="1:17" ht="18.649999999999999" customHeight="1">
      <c r="A100" s="6"/>
      <c r="B100" s="6"/>
      <c r="C100" s="6" t="s">
        <v>611</v>
      </c>
      <c r="D100" s="6"/>
      <c r="E100" s="6"/>
      <c r="F100" s="6"/>
      <c r="G100" s="6"/>
      <c r="H100" s="5" t="s">
        <v>89</v>
      </c>
      <c r="I100" s="6" t="s">
        <v>147</v>
      </c>
      <c r="J100" s="6" t="s">
        <v>141</v>
      </c>
      <c r="K100" s="54" t="s">
        <v>78</v>
      </c>
      <c r="L100" s="6">
        <v>106</v>
      </c>
      <c r="M100" s="55" t="s">
        <v>44</v>
      </c>
      <c r="N100" s="56" t="s">
        <v>360</v>
      </c>
      <c r="O100" s="56"/>
      <c r="P100" s="56"/>
      <c r="Q100" s="56"/>
    </row>
    <row r="101" spans="1:17" ht="18.649999999999999" customHeight="1">
      <c r="A101" s="77" t="s">
        <v>578</v>
      </c>
      <c r="B101" s="4"/>
      <c r="C101" s="4" t="s">
        <v>577</v>
      </c>
      <c r="D101" s="4"/>
      <c r="E101" s="4" t="s">
        <v>106</v>
      </c>
      <c r="F101" s="4"/>
      <c r="G101" s="4"/>
      <c r="H101" s="29" t="s">
        <v>89</v>
      </c>
      <c r="I101" s="4" t="s">
        <v>6</v>
      </c>
      <c r="J101" s="22" t="s">
        <v>105</v>
      </c>
      <c r="K101" s="8" t="s">
        <v>78</v>
      </c>
      <c r="L101" s="4">
        <v>106</v>
      </c>
      <c r="M101" s="55" t="s">
        <v>44</v>
      </c>
      <c r="N101" s="60" t="s">
        <v>104</v>
      </c>
      <c r="O101" s="69"/>
      <c r="P101" s="4"/>
      <c r="Q101" s="4"/>
    </row>
    <row r="102" spans="1:17" ht="18.649999999999999" customHeight="1">
      <c r="A102" s="6"/>
      <c r="B102" s="6"/>
      <c r="C102" s="6" t="s">
        <v>263</v>
      </c>
      <c r="D102" s="6"/>
      <c r="E102" s="6"/>
      <c r="F102" s="6"/>
      <c r="G102" s="6"/>
      <c r="H102" s="5" t="s">
        <v>89</v>
      </c>
      <c r="I102" s="6" t="s">
        <v>147</v>
      </c>
      <c r="J102" s="6" t="s">
        <v>363</v>
      </c>
      <c r="K102" s="54" t="s">
        <v>359</v>
      </c>
      <c r="L102" s="6">
        <v>106</v>
      </c>
      <c r="M102" s="55" t="s">
        <v>44</v>
      </c>
      <c r="N102" s="56" t="s">
        <v>361</v>
      </c>
      <c r="O102" s="56"/>
      <c r="P102" s="56"/>
      <c r="Q102" s="56"/>
    </row>
    <row r="103" spans="1:17" ht="18.649999999999999" customHeight="1">
      <c r="A103" s="18"/>
      <c r="B103" s="18"/>
      <c r="C103" s="18" t="s">
        <v>184</v>
      </c>
      <c r="D103" s="18"/>
      <c r="E103" s="18" t="s">
        <v>185</v>
      </c>
      <c r="F103" s="18"/>
      <c r="G103" s="18"/>
      <c r="H103" s="19" t="s">
        <v>5</v>
      </c>
      <c r="I103" s="18" t="s">
        <v>147</v>
      </c>
      <c r="J103" s="18" t="s">
        <v>41</v>
      </c>
      <c r="K103" s="30" t="s">
        <v>562</v>
      </c>
      <c r="L103" s="18">
        <v>181</v>
      </c>
      <c r="M103" s="28" t="s">
        <v>42</v>
      </c>
      <c r="N103" s="20" t="s">
        <v>160</v>
      </c>
      <c r="O103" s="20"/>
      <c r="P103" s="20"/>
      <c r="Q103" s="20"/>
    </row>
    <row r="104" spans="1:17" ht="18.649999999999999" customHeight="1">
      <c r="A104" s="74" t="s">
        <v>663</v>
      </c>
      <c r="B104" s="18"/>
      <c r="C104" s="18" t="s">
        <v>593</v>
      </c>
      <c r="D104" s="18"/>
      <c r="E104" s="18" t="s">
        <v>8</v>
      </c>
      <c r="F104" s="18"/>
      <c r="G104" s="18"/>
      <c r="H104" s="19" t="s">
        <v>5</v>
      </c>
      <c r="I104" s="18" t="s">
        <v>6</v>
      </c>
      <c r="J104" s="18" t="s">
        <v>80</v>
      </c>
      <c r="K104" s="30" t="s">
        <v>78</v>
      </c>
      <c r="L104" s="18">
        <v>225</v>
      </c>
      <c r="M104" s="28" t="s">
        <v>20</v>
      </c>
      <c r="N104" s="20" t="s">
        <v>61</v>
      </c>
      <c r="O104" s="66"/>
      <c r="P104" s="20"/>
      <c r="Q104" s="20"/>
    </row>
    <row r="105" spans="1:17" ht="18.649999999999999" customHeight="1">
      <c r="A105" s="6"/>
      <c r="B105" s="6"/>
      <c r="C105" s="6" t="s">
        <v>241</v>
      </c>
      <c r="D105" s="6"/>
      <c r="E105" s="6"/>
      <c r="F105" s="6"/>
      <c r="G105" s="6"/>
      <c r="H105" s="5" t="s">
        <v>89</v>
      </c>
      <c r="I105" s="6" t="s">
        <v>147</v>
      </c>
      <c r="J105" s="6" t="s">
        <v>141</v>
      </c>
      <c r="K105" s="54" t="s">
        <v>78</v>
      </c>
      <c r="L105" s="6">
        <v>225</v>
      </c>
      <c r="M105" s="55" t="s">
        <v>92</v>
      </c>
      <c r="N105" s="56" t="s">
        <v>364</v>
      </c>
      <c r="O105" s="56"/>
      <c r="P105" s="56"/>
      <c r="Q105" s="56"/>
    </row>
    <row r="106" spans="1:17" ht="18.649999999999999" customHeight="1">
      <c r="A106" s="6"/>
      <c r="B106" s="6"/>
      <c r="C106" s="6" t="s">
        <v>216</v>
      </c>
      <c r="D106" s="6"/>
      <c r="E106" s="6"/>
      <c r="F106" s="6"/>
      <c r="G106" s="6"/>
      <c r="H106" s="5" t="s">
        <v>89</v>
      </c>
      <c r="I106" s="6" t="s">
        <v>147</v>
      </c>
      <c r="J106" s="6" t="s">
        <v>363</v>
      </c>
      <c r="K106" s="54" t="s">
        <v>359</v>
      </c>
      <c r="L106" s="6">
        <v>225</v>
      </c>
      <c r="M106" s="55" t="s">
        <v>92</v>
      </c>
      <c r="N106" s="56" t="s">
        <v>364</v>
      </c>
      <c r="O106" s="56"/>
      <c r="P106" s="56"/>
      <c r="Q106" s="56"/>
    </row>
    <row r="107" spans="1:17" ht="18.649999999999999" customHeight="1">
      <c r="A107" s="6"/>
      <c r="B107" s="6"/>
      <c r="C107" s="6" t="s">
        <v>217</v>
      </c>
      <c r="D107" s="6"/>
      <c r="E107" s="6"/>
      <c r="F107" s="6"/>
      <c r="G107" s="6"/>
      <c r="H107" s="5" t="s">
        <v>89</v>
      </c>
      <c r="I107" s="6" t="s">
        <v>147</v>
      </c>
      <c r="J107" s="6" t="s">
        <v>363</v>
      </c>
      <c r="K107" s="54" t="s">
        <v>359</v>
      </c>
      <c r="L107" s="6">
        <v>225</v>
      </c>
      <c r="M107" s="55" t="s">
        <v>92</v>
      </c>
      <c r="N107" s="56" t="s">
        <v>364</v>
      </c>
      <c r="O107" s="56"/>
      <c r="P107" s="56"/>
      <c r="Q107" s="56"/>
    </row>
    <row r="108" spans="1:17" ht="18.649999999999999" customHeight="1">
      <c r="A108" s="6"/>
      <c r="B108" s="6"/>
      <c r="C108" s="6" t="s">
        <v>227</v>
      </c>
      <c r="D108" s="6"/>
      <c r="E108" s="6"/>
      <c r="F108" s="6"/>
      <c r="G108" s="6"/>
      <c r="H108" s="5" t="s">
        <v>89</v>
      </c>
      <c r="I108" s="6" t="s">
        <v>147</v>
      </c>
      <c r="J108" s="6" t="s">
        <v>365</v>
      </c>
      <c r="K108" s="54" t="s">
        <v>562</v>
      </c>
      <c r="L108" s="6">
        <v>225</v>
      </c>
      <c r="M108" s="55" t="s">
        <v>92</v>
      </c>
      <c r="N108" s="56" t="s">
        <v>364</v>
      </c>
      <c r="O108" s="56"/>
      <c r="P108" s="56"/>
      <c r="Q108" s="56"/>
    </row>
    <row r="109" spans="1:17" ht="18.649999999999999" customHeight="1">
      <c r="A109" s="6"/>
      <c r="B109" s="6"/>
      <c r="C109" s="6" t="s">
        <v>251</v>
      </c>
      <c r="D109" s="6"/>
      <c r="E109" s="6"/>
      <c r="F109" s="6"/>
      <c r="G109" s="6"/>
      <c r="H109" s="5" t="s">
        <v>89</v>
      </c>
      <c r="I109" s="6" t="s">
        <v>147</v>
      </c>
      <c r="J109" s="6"/>
      <c r="K109" s="54" t="s">
        <v>78</v>
      </c>
      <c r="L109" s="6">
        <v>225</v>
      </c>
      <c r="M109" s="55" t="s">
        <v>92</v>
      </c>
      <c r="N109" s="56" t="s">
        <v>364</v>
      </c>
      <c r="O109" s="56"/>
      <c r="P109" s="56"/>
      <c r="Q109" s="56"/>
    </row>
    <row r="110" spans="1:17" ht="18.649999999999999" customHeight="1">
      <c r="A110" s="6"/>
      <c r="B110" s="6"/>
      <c r="C110" s="6" t="s">
        <v>252</v>
      </c>
      <c r="D110" s="6"/>
      <c r="E110" s="6"/>
      <c r="F110" s="6"/>
      <c r="G110" s="6"/>
      <c r="H110" s="5" t="s">
        <v>89</v>
      </c>
      <c r="I110" s="6" t="s">
        <v>147</v>
      </c>
      <c r="J110" s="6"/>
      <c r="K110" s="54" t="s">
        <v>78</v>
      </c>
      <c r="L110" s="6">
        <v>225</v>
      </c>
      <c r="M110" s="55" t="s">
        <v>92</v>
      </c>
      <c r="N110" s="56" t="s">
        <v>364</v>
      </c>
      <c r="O110" s="56"/>
      <c r="P110" s="56"/>
      <c r="Q110" s="56"/>
    </row>
    <row r="111" spans="1:17" ht="18.649999999999999" customHeight="1">
      <c r="A111" s="6"/>
      <c r="B111" s="6"/>
      <c r="C111" s="6" t="s">
        <v>242</v>
      </c>
      <c r="D111" s="6"/>
      <c r="E111" s="6"/>
      <c r="F111" s="6"/>
      <c r="G111" s="6"/>
      <c r="H111" s="5" t="s">
        <v>89</v>
      </c>
      <c r="I111" s="6" t="s">
        <v>147</v>
      </c>
      <c r="J111" s="6" t="s">
        <v>141</v>
      </c>
      <c r="K111" s="54" t="s">
        <v>78</v>
      </c>
      <c r="L111" s="6">
        <v>225</v>
      </c>
      <c r="M111" s="55" t="s">
        <v>44</v>
      </c>
      <c r="N111" s="56" t="s">
        <v>364</v>
      </c>
      <c r="O111" s="56"/>
      <c r="P111" s="56"/>
      <c r="Q111" s="56"/>
    </row>
    <row r="112" spans="1:17" ht="18.649999999999999" customHeight="1">
      <c r="A112" s="6"/>
      <c r="B112" s="6"/>
      <c r="C112" s="6" t="s">
        <v>218</v>
      </c>
      <c r="D112" s="6"/>
      <c r="E112" s="6"/>
      <c r="F112" s="6"/>
      <c r="G112" s="6"/>
      <c r="H112" s="5" t="s">
        <v>89</v>
      </c>
      <c r="I112" s="6" t="s">
        <v>147</v>
      </c>
      <c r="J112" s="6" t="s">
        <v>363</v>
      </c>
      <c r="K112" s="54" t="s">
        <v>359</v>
      </c>
      <c r="L112" s="6">
        <v>225</v>
      </c>
      <c r="M112" s="55" t="s">
        <v>44</v>
      </c>
      <c r="N112" s="56" t="s">
        <v>364</v>
      </c>
      <c r="O112" s="56"/>
      <c r="P112" s="56"/>
      <c r="Q112" s="56"/>
    </row>
    <row r="113" spans="1:17" ht="18.649999999999999" customHeight="1">
      <c r="A113" s="6"/>
      <c r="B113" s="6"/>
      <c r="C113" s="6" t="s">
        <v>219</v>
      </c>
      <c r="D113" s="6"/>
      <c r="E113" s="6"/>
      <c r="F113" s="6"/>
      <c r="G113" s="6"/>
      <c r="H113" s="5" t="s">
        <v>89</v>
      </c>
      <c r="I113" s="6" t="s">
        <v>147</v>
      </c>
      <c r="J113" s="6" t="s">
        <v>363</v>
      </c>
      <c r="K113" s="54" t="s">
        <v>359</v>
      </c>
      <c r="L113" s="6">
        <v>225</v>
      </c>
      <c r="M113" s="55" t="s">
        <v>44</v>
      </c>
      <c r="N113" s="56" t="s">
        <v>364</v>
      </c>
      <c r="O113" s="56"/>
      <c r="P113" s="56"/>
      <c r="Q113" s="56"/>
    </row>
    <row r="114" spans="1:17" ht="18.649999999999999" customHeight="1">
      <c r="A114" s="6"/>
      <c r="B114" s="6"/>
      <c r="C114" s="6" t="s">
        <v>220</v>
      </c>
      <c r="D114" s="6"/>
      <c r="E114" s="6"/>
      <c r="F114" s="6"/>
      <c r="G114" s="6"/>
      <c r="H114" s="5" t="s">
        <v>89</v>
      </c>
      <c r="I114" s="6" t="s">
        <v>147</v>
      </c>
      <c r="J114" s="6" t="s">
        <v>363</v>
      </c>
      <c r="K114" s="54" t="s">
        <v>359</v>
      </c>
      <c r="L114" s="6">
        <v>225</v>
      </c>
      <c r="M114" s="55" t="s">
        <v>44</v>
      </c>
      <c r="N114" s="56" t="s">
        <v>364</v>
      </c>
      <c r="O114" s="56"/>
      <c r="P114" s="56"/>
      <c r="Q114" s="56"/>
    </row>
    <row r="115" spans="1:17" ht="18.649999999999999" customHeight="1">
      <c r="A115" s="18"/>
      <c r="B115" s="18"/>
      <c r="C115" s="18" t="s">
        <v>211</v>
      </c>
      <c r="D115" s="18"/>
      <c r="E115" s="18"/>
      <c r="F115" s="18"/>
      <c r="G115" s="18"/>
      <c r="H115" s="19" t="s">
        <v>89</v>
      </c>
      <c r="I115" s="18" t="s">
        <v>147</v>
      </c>
      <c r="J115" s="18" t="s">
        <v>368</v>
      </c>
      <c r="K115" s="30" t="s">
        <v>562</v>
      </c>
      <c r="L115" s="18">
        <v>225</v>
      </c>
      <c r="M115" s="28" t="s">
        <v>44</v>
      </c>
      <c r="N115" s="20" t="s">
        <v>364</v>
      </c>
      <c r="O115" s="20"/>
      <c r="P115" s="20"/>
      <c r="Q115" s="20"/>
    </row>
    <row r="116" spans="1:17" ht="18.649999999999999" customHeight="1">
      <c r="A116" s="6"/>
      <c r="B116" s="6"/>
      <c r="C116" s="6" t="s">
        <v>212</v>
      </c>
      <c r="D116" s="6"/>
      <c r="E116" s="6"/>
      <c r="F116" s="6"/>
      <c r="G116" s="6"/>
      <c r="H116" s="5" t="s">
        <v>89</v>
      </c>
      <c r="I116" s="6" t="s">
        <v>147</v>
      </c>
      <c r="J116" s="6" t="s">
        <v>368</v>
      </c>
      <c r="K116" s="54" t="s">
        <v>562</v>
      </c>
      <c r="L116" s="6">
        <v>225</v>
      </c>
      <c r="M116" s="55" t="s">
        <v>44</v>
      </c>
      <c r="N116" s="56" t="s">
        <v>364</v>
      </c>
      <c r="O116" s="56"/>
      <c r="P116" s="56"/>
      <c r="Q116" s="56"/>
    </row>
    <row r="117" spans="1:17" ht="18.649999999999999" customHeight="1">
      <c r="A117" s="6"/>
      <c r="B117" s="6"/>
      <c r="C117" s="6" t="s">
        <v>228</v>
      </c>
      <c r="D117" s="6"/>
      <c r="E117" s="6"/>
      <c r="F117" s="6"/>
      <c r="G117" s="6"/>
      <c r="H117" s="5" t="s">
        <v>89</v>
      </c>
      <c r="I117" s="6" t="s">
        <v>147</v>
      </c>
      <c r="J117" s="6" t="s">
        <v>365</v>
      </c>
      <c r="K117" s="54" t="s">
        <v>562</v>
      </c>
      <c r="L117" s="6">
        <v>225</v>
      </c>
      <c r="M117" s="55" t="s">
        <v>44</v>
      </c>
      <c r="N117" s="56" t="s">
        <v>364</v>
      </c>
      <c r="O117" s="56"/>
      <c r="P117" s="56"/>
      <c r="Q117" s="56"/>
    </row>
    <row r="118" spans="1:17" ht="18.649999999999999" customHeight="1">
      <c r="A118" s="6"/>
      <c r="B118" s="6"/>
      <c r="C118" s="6" t="s">
        <v>229</v>
      </c>
      <c r="D118" s="6"/>
      <c r="E118" s="6"/>
      <c r="F118" s="6"/>
      <c r="G118" s="6"/>
      <c r="H118" s="5" t="s">
        <v>89</v>
      </c>
      <c r="I118" s="6" t="s">
        <v>147</v>
      </c>
      <c r="J118" s="6" t="s">
        <v>365</v>
      </c>
      <c r="K118" s="54" t="s">
        <v>562</v>
      </c>
      <c r="L118" s="6">
        <v>225</v>
      </c>
      <c r="M118" s="55" t="s">
        <v>44</v>
      </c>
      <c r="N118" s="56" t="s">
        <v>364</v>
      </c>
      <c r="O118" s="56"/>
      <c r="P118" s="56"/>
      <c r="Q118" s="56"/>
    </row>
    <row r="119" spans="1:17" ht="18.649999999999999" customHeight="1">
      <c r="A119" s="6"/>
      <c r="B119" s="6"/>
      <c r="C119" s="6" t="s">
        <v>253</v>
      </c>
      <c r="D119" s="6"/>
      <c r="E119" s="6"/>
      <c r="F119" s="6"/>
      <c r="G119" s="6"/>
      <c r="H119" s="5" t="s">
        <v>89</v>
      </c>
      <c r="I119" s="6" t="s">
        <v>147</v>
      </c>
      <c r="J119" s="6"/>
      <c r="K119" s="54" t="s">
        <v>78</v>
      </c>
      <c r="L119" s="6">
        <v>225</v>
      </c>
      <c r="M119" s="55" t="s">
        <v>44</v>
      </c>
      <c r="N119" s="56" t="s">
        <v>364</v>
      </c>
      <c r="O119" s="56"/>
      <c r="P119" s="56"/>
      <c r="Q119" s="56"/>
    </row>
    <row r="120" spans="1:17" ht="18.649999999999999" customHeight="1">
      <c r="A120" s="74" t="s">
        <v>145</v>
      </c>
      <c r="B120" s="18"/>
      <c r="C120" s="18"/>
      <c r="D120" s="18"/>
      <c r="E120" s="18" t="s">
        <v>716</v>
      </c>
      <c r="F120" s="18"/>
      <c r="G120" s="18"/>
      <c r="H120" s="19" t="s">
        <v>5</v>
      </c>
      <c r="I120" s="18" t="s">
        <v>147</v>
      </c>
      <c r="J120" s="18" t="s">
        <v>141</v>
      </c>
      <c r="K120" s="30" t="s">
        <v>78</v>
      </c>
      <c r="L120" s="18">
        <v>225</v>
      </c>
      <c r="M120" s="28" t="s">
        <v>92</v>
      </c>
      <c r="N120" s="20" t="s">
        <v>146</v>
      </c>
      <c r="O120" s="20"/>
      <c r="P120" s="20"/>
      <c r="Q120" s="20"/>
    </row>
    <row r="121" spans="1:17" ht="18.649999999999999" customHeight="1">
      <c r="A121" s="6"/>
      <c r="B121" s="6"/>
      <c r="C121" s="6" t="s">
        <v>243</v>
      </c>
      <c r="D121" s="6"/>
      <c r="E121" s="6"/>
      <c r="F121" s="6"/>
      <c r="G121" s="6"/>
      <c r="H121" s="5" t="s">
        <v>89</v>
      </c>
      <c r="I121" s="6" t="s">
        <v>147</v>
      </c>
      <c r="J121" s="6" t="s">
        <v>141</v>
      </c>
      <c r="K121" s="54" t="s">
        <v>78</v>
      </c>
      <c r="L121" s="6">
        <v>225</v>
      </c>
      <c r="M121" s="55" t="s">
        <v>92</v>
      </c>
      <c r="N121" s="56" t="s">
        <v>367</v>
      </c>
      <c r="O121" s="56"/>
      <c r="P121" s="56"/>
      <c r="Q121" s="56"/>
    </row>
    <row r="122" spans="1:17" ht="18.649999999999999" customHeight="1">
      <c r="A122" s="6"/>
      <c r="B122" s="6"/>
      <c r="C122" s="6" t="s">
        <v>244</v>
      </c>
      <c r="D122" s="6"/>
      <c r="E122" s="6"/>
      <c r="F122" s="6"/>
      <c r="G122" s="6"/>
      <c r="H122" s="5" t="s">
        <v>89</v>
      </c>
      <c r="I122" s="6" t="s">
        <v>147</v>
      </c>
      <c r="J122" s="6" t="s">
        <v>141</v>
      </c>
      <c r="K122" s="54" t="s">
        <v>78</v>
      </c>
      <c r="L122" s="6">
        <v>225</v>
      </c>
      <c r="M122" s="55" t="s">
        <v>92</v>
      </c>
      <c r="N122" s="56" t="s">
        <v>367</v>
      </c>
      <c r="O122" s="56"/>
      <c r="P122" s="56"/>
      <c r="Q122" s="56"/>
    </row>
    <row r="123" spans="1:17" ht="18.649999999999999" customHeight="1">
      <c r="A123" s="6"/>
      <c r="B123" s="6"/>
      <c r="C123" s="6" t="s">
        <v>221</v>
      </c>
      <c r="D123" s="6"/>
      <c r="E123" s="6"/>
      <c r="F123" s="6"/>
      <c r="G123" s="6"/>
      <c r="H123" s="5" t="s">
        <v>89</v>
      </c>
      <c r="I123" s="6" t="s">
        <v>147</v>
      </c>
      <c r="J123" s="6" t="s">
        <v>363</v>
      </c>
      <c r="K123" s="54" t="s">
        <v>359</v>
      </c>
      <c r="L123" s="6">
        <v>225</v>
      </c>
      <c r="M123" s="55" t="s">
        <v>92</v>
      </c>
      <c r="N123" s="56" t="s">
        <v>367</v>
      </c>
      <c r="O123" s="56"/>
      <c r="P123" s="56"/>
      <c r="Q123" s="56"/>
    </row>
    <row r="124" spans="1:17" ht="18.649999999999999" customHeight="1">
      <c r="A124" s="6"/>
      <c r="B124" s="6"/>
      <c r="C124" s="6" t="s">
        <v>245</v>
      </c>
      <c r="D124" s="6"/>
      <c r="E124" s="6"/>
      <c r="F124" s="6"/>
      <c r="G124" s="6"/>
      <c r="H124" s="5" t="s">
        <v>89</v>
      </c>
      <c r="I124" s="6" t="s">
        <v>147</v>
      </c>
      <c r="J124" s="6" t="s">
        <v>141</v>
      </c>
      <c r="K124" s="54" t="s">
        <v>78</v>
      </c>
      <c r="L124" s="6">
        <v>225</v>
      </c>
      <c r="M124" s="55" t="s">
        <v>44</v>
      </c>
      <c r="N124" s="56" t="s">
        <v>367</v>
      </c>
      <c r="O124" s="56"/>
      <c r="P124" s="56"/>
      <c r="Q124" s="56"/>
    </row>
    <row r="125" spans="1:17" ht="18.649999999999999" customHeight="1">
      <c r="A125" s="6"/>
      <c r="B125" s="6"/>
      <c r="C125" s="6" t="s">
        <v>246</v>
      </c>
      <c r="D125" s="6"/>
      <c r="E125" s="6"/>
      <c r="F125" s="6"/>
      <c r="G125" s="6"/>
      <c r="H125" s="5" t="s">
        <v>89</v>
      </c>
      <c r="I125" s="6" t="s">
        <v>147</v>
      </c>
      <c r="J125" s="6" t="s">
        <v>141</v>
      </c>
      <c r="K125" s="54" t="s">
        <v>78</v>
      </c>
      <c r="L125" s="6">
        <v>225</v>
      </c>
      <c r="M125" s="55" t="s">
        <v>44</v>
      </c>
      <c r="N125" s="56" t="s">
        <v>367</v>
      </c>
      <c r="O125" s="56"/>
      <c r="P125" s="56"/>
      <c r="Q125" s="56"/>
    </row>
    <row r="126" spans="1:17" ht="18.649999999999999" customHeight="1">
      <c r="A126" s="6"/>
      <c r="B126" s="6"/>
      <c r="C126" s="6" t="s">
        <v>247</v>
      </c>
      <c r="D126" s="6"/>
      <c r="E126" s="6"/>
      <c r="F126" s="6"/>
      <c r="G126" s="6"/>
      <c r="H126" s="5" t="s">
        <v>89</v>
      </c>
      <c r="I126" s="6" t="s">
        <v>147</v>
      </c>
      <c r="J126" s="6" t="s">
        <v>141</v>
      </c>
      <c r="K126" s="54" t="s">
        <v>78</v>
      </c>
      <c r="L126" s="6">
        <v>225</v>
      </c>
      <c r="M126" s="55" t="s">
        <v>44</v>
      </c>
      <c r="N126" s="56" t="s">
        <v>367</v>
      </c>
      <c r="O126" s="56"/>
      <c r="P126" s="56"/>
      <c r="Q126" s="56"/>
    </row>
    <row r="127" spans="1:17" ht="18.649999999999999" customHeight="1">
      <c r="A127" s="6"/>
      <c r="B127" s="6"/>
      <c r="C127" s="6" t="s">
        <v>222</v>
      </c>
      <c r="D127" s="6"/>
      <c r="E127" s="6"/>
      <c r="F127" s="6"/>
      <c r="G127" s="6"/>
      <c r="H127" s="5" t="s">
        <v>89</v>
      </c>
      <c r="I127" s="6" t="s">
        <v>147</v>
      </c>
      <c r="J127" s="6" t="s">
        <v>363</v>
      </c>
      <c r="K127" s="54" t="s">
        <v>359</v>
      </c>
      <c r="L127" s="6">
        <v>225</v>
      </c>
      <c r="M127" s="55" t="s">
        <v>44</v>
      </c>
      <c r="N127" s="56" t="s">
        <v>367</v>
      </c>
      <c r="O127" s="56"/>
      <c r="P127" s="56"/>
      <c r="Q127" s="56"/>
    </row>
    <row r="128" spans="1:17" ht="18.649999999999999" customHeight="1">
      <c r="A128" s="6"/>
      <c r="B128" s="6"/>
      <c r="C128" s="6" t="s">
        <v>223</v>
      </c>
      <c r="D128" s="6"/>
      <c r="E128" s="6"/>
      <c r="F128" s="6"/>
      <c r="G128" s="6"/>
      <c r="H128" s="5" t="s">
        <v>89</v>
      </c>
      <c r="I128" s="6" t="s">
        <v>147</v>
      </c>
      <c r="J128" s="6" t="s">
        <v>363</v>
      </c>
      <c r="K128" s="54" t="s">
        <v>359</v>
      </c>
      <c r="L128" s="6">
        <v>225</v>
      </c>
      <c r="M128" s="55" t="s">
        <v>44</v>
      </c>
      <c r="N128" s="56" t="s">
        <v>367</v>
      </c>
      <c r="O128" s="56"/>
      <c r="P128" s="56"/>
      <c r="Q128" s="56"/>
    </row>
    <row r="129" spans="1:17" ht="18.649999999999999" customHeight="1">
      <c r="A129" s="6"/>
      <c r="B129" s="6"/>
      <c r="C129" s="6" t="s">
        <v>235</v>
      </c>
      <c r="D129" s="6"/>
      <c r="E129" s="6"/>
      <c r="F129" s="6"/>
      <c r="G129" s="6"/>
      <c r="H129" s="5" t="s">
        <v>89</v>
      </c>
      <c r="I129" s="6" t="s">
        <v>147</v>
      </c>
      <c r="J129" s="6" t="s">
        <v>358</v>
      </c>
      <c r="K129" s="54" t="s">
        <v>359</v>
      </c>
      <c r="L129" s="6">
        <v>225</v>
      </c>
      <c r="M129" s="55" t="s">
        <v>44</v>
      </c>
      <c r="N129" s="56" t="s">
        <v>367</v>
      </c>
      <c r="O129" s="56"/>
      <c r="P129" s="56"/>
      <c r="Q129" s="56"/>
    </row>
    <row r="130" spans="1:17" ht="18.649999999999999" customHeight="1">
      <c r="A130" s="6"/>
      <c r="B130" s="6"/>
      <c r="C130" s="6" t="s">
        <v>230</v>
      </c>
      <c r="D130" s="6"/>
      <c r="E130" s="6"/>
      <c r="F130" s="6"/>
      <c r="G130" s="6"/>
      <c r="H130" s="5" t="s">
        <v>89</v>
      </c>
      <c r="I130" s="6" t="s">
        <v>147</v>
      </c>
      <c r="J130" s="6" t="s">
        <v>365</v>
      </c>
      <c r="K130" s="54" t="s">
        <v>562</v>
      </c>
      <c r="L130" s="6">
        <v>225</v>
      </c>
      <c r="M130" s="55" t="s">
        <v>44</v>
      </c>
      <c r="N130" s="56" t="s">
        <v>367</v>
      </c>
      <c r="O130" s="56"/>
      <c r="P130" s="56"/>
      <c r="Q130" s="56"/>
    </row>
    <row r="131" spans="1:17" ht="18.649999999999999" customHeight="1">
      <c r="A131" s="6"/>
      <c r="B131" s="6"/>
      <c r="C131" s="6" t="s">
        <v>213</v>
      </c>
      <c r="D131" s="6"/>
      <c r="E131" s="6"/>
      <c r="F131" s="6"/>
      <c r="G131" s="6"/>
      <c r="H131" s="5" t="s">
        <v>89</v>
      </c>
      <c r="I131" s="6" t="s">
        <v>147</v>
      </c>
      <c r="J131" s="6" t="s">
        <v>363</v>
      </c>
      <c r="K131" s="54" t="s">
        <v>359</v>
      </c>
      <c r="L131" s="6">
        <v>225</v>
      </c>
      <c r="M131" s="55" t="s">
        <v>44</v>
      </c>
      <c r="N131" s="56" t="s">
        <v>366</v>
      </c>
      <c r="O131" s="56"/>
      <c r="P131" s="56"/>
      <c r="Q131" s="56"/>
    </row>
    <row r="132" spans="1:17" ht="18.649999999999999" customHeight="1">
      <c r="A132" s="6"/>
      <c r="B132" s="6"/>
      <c r="C132" s="6" t="s">
        <v>206</v>
      </c>
      <c r="D132" s="6"/>
      <c r="E132" s="6"/>
      <c r="F132" s="6"/>
      <c r="G132" s="6"/>
      <c r="H132" s="5" t="s">
        <v>89</v>
      </c>
      <c r="I132" s="6" t="s">
        <v>357</v>
      </c>
      <c r="J132" s="6" t="s">
        <v>358</v>
      </c>
      <c r="K132" s="54" t="s">
        <v>359</v>
      </c>
      <c r="L132" s="6">
        <v>225</v>
      </c>
      <c r="M132" s="55" t="s">
        <v>44</v>
      </c>
      <c r="N132" s="56" t="s">
        <v>366</v>
      </c>
      <c r="O132" s="56"/>
      <c r="P132" s="56"/>
      <c r="Q132" s="56"/>
    </row>
    <row r="133" spans="1:17" ht="18.649999999999999" customHeight="1">
      <c r="A133" s="12" t="s">
        <v>546</v>
      </c>
      <c r="B133" s="12"/>
      <c r="C133" s="12" t="s">
        <v>101</v>
      </c>
      <c r="D133" s="12"/>
      <c r="E133" s="12" t="s">
        <v>103</v>
      </c>
      <c r="F133" s="12"/>
      <c r="G133" s="12"/>
      <c r="H133" s="13" t="s">
        <v>89</v>
      </c>
      <c r="I133" s="12" t="s">
        <v>6</v>
      </c>
      <c r="J133" s="14" t="s">
        <v>43</v>
      </c>
      <c r="K133" s="15" t="s">
        <v>78</v>
      </c>
      <c r="L133" s="12">
        <v>225</v>
      </c>
      <c r="M133" s="28" t="s">
        <v>20</v>
      </c>
      <c r="N133" s="16" t="s">
        <v>100</v>
      </c>
      <c r="O133" s="12"/>
      <c r="P133" s="12"/>
      <c r="Q133" s="12"/>
    </row>
    <row r="134" spans="1:17" ht="18.649999999999999" customHeight="1">
      <c r="A134" s="6"/>
      <c r="B134" s="6"/>
      <c r="C134" s="6" t="s">
        <v>224</v>
      </c>
      <c r="D134" s="6"/>
      <c r="E134" s="6"/>
      <c r="F134" s="6"/>
      <c r="G134" s="6"/>
      <c r="H134" s="5" t="s">
        <v>89</v>
      </c>
      <c r="I134" s="6" t="s">
        <v>147</v>
      </c>
      <c r="J134" s="6" t="s">
        <v>363</v>
      </c>
      <c r="K134" s="54" t="s">
        <v>359</v>
      </c>
      <c r="L134" s="6">
        <v>225</v>
      </c>
      <c r="M134" s="55" t="s">
        <v>92</v>
      </c>
      <c r="N134" s="56" t="s">
        <v>369</v>
      </c>
      <c r="O134" s="56"/>
      <c r="P134" s="56"/>
      <c r="Q134" s="56"/>
    </row>
    <row r="135" spans="1:17" ht="18.649999999999999" customHeight="1">
      <c r="A135" s="6"/>
      <c r="B135" s="6"/>
      <c r="C135" s="6" t="s">
        <v>248</v>
      </c>
      <c r="D135" s="6"/>
      <c r="E135" s="6"/>
      <c r="F135" s="6"/>
      <c r="G135" s="6"/>
      <c r="H135" s="5" t="s">
        <v>89</v>
      </c>
      <c r="I135" s="6" t="s">
        <v>147</v>
      </c>
      <c r="J135" s="6" t="s">
        <v>141</v>
      </c>
      <c r="K135" s="54" t="s">
        <v>78</v>
      </c>
      <c r="L135" s="6">
        <v>225</v>
      </c>
      <c r="M135" s="55" t="s">
        <v>44</v>
      </c>
      <c r="N135" s="56" t="s">
        <v>369</v>
      </c>
      <c r="O135" s="56"/>
      <c r="P135" s="56"/>
      <c r="Q135" s="56"/>
    </row>
    <row r="136" spans="1:17" ht="18.649999999999999" customHeight="1">
      <c r="A136" s="6"/>
      <c r="B136" s="6"/>
      <c r="C136" s="6" t="s">
        <v>225</v>
      </c>
      <c r="D136" s="6"/>
      <c r="E136" s="6"/>
      <c r="F136" s="6"/>
      <c r="G136" s="6"/>
      <c r="H136" s="5" t="s">
        <v>89</v>
      </c>
      <c r="I136" s="6" t="s">
        <v>147</v>
      </c>
      <c r="J136" s="6" t="s">
        <v>363</v>
      </c>
      <c r="K136" s="54" t="s">
        <v>359</v>
      </c>
      <c r="L136" s="6">
        <v>225</v>
      </c>
      <c r="M136" s="55" t="s">
        <v>44</v>
      </c>
      <c r="N136" s="56" t="s">
        <v>369</v>
      </c>
      <c r="O136" s="56"/>
      <c r="P136" s="56"/>
      <c r="Q136" s="56"/>
    </row>
    <row r="137" spans="1:17" ht="18.649999999999999" customHeight="1">
      <c r="A137" s="6"/>
      <c r="B137" s="6"/>
      <c r="C137" s="6" t="s">
        <v>236</v>
      </c>
      <c r="D137" s="6"/>
      <c r="E137" s="6"/>
      <c r="F137" s="6"/>
      <c r="G137" s="6"/>
      <c r="H137" s="5" t="s">
        <v>89</v>
      </c>
      <c r="I137" s="6" t="s">
        <v>147</v>
      </c>
      <c r="J137" s="6" t="s">
        <v>358</v>
      </c>
      <c r="K137" s="54" t="s">
        <v>359</v>
      </c>
      <c r="L137" s="6">
        <v>225</v>
      </c>
      <c r="M137" s="55" t="s">
        <v>44</v>
      </c>
      <c r="N137" s="56" t="s">
        <v>369</v>
      </c>
      <c r="O137" s="56"/>
      <c r="P137" s="56"/>
      <c r="Q137" s="56"/>
    </row>
    <row r="138" spans="1:17" ht="18.649999999999999" customHeight="1">
      <c r="A138" s="6"/>
      <c r="B138" s="6"/>
      <c r="C138" s="6" t="s">
        <v>249</v>
      </c>
      <c r="D138" s="6" t="s">
        <v>797</v>
      </c>
      <c r="E138" s="6"/>
      <c r="F138" s="6"/>
      <c r="G138" s="6"/>
      <c r="H138" s="5" t="s">
        <v>89</v>
      </c>
      <c r="I138" s="6" t="s">
        <v>147</v>
      </c>
      <c r="J138" s="6" t="s">
        <v>141</v>
      </c>
      <c r="K138" s="54" t="s">
        <v>78</v>
      </c>
      <c r="L138" s="6">
        <v>225</v>
      </c>
      <c r="M138" s="55" t="s">
        <v>92</v>
      </c>
      <c r="N138" s="56" t="s">
        <v>370</v>
      </c>
      <c r="O138" s="56"/>
      <c r="P138" s="56"/>
      <c r="Q138" s="56"/>
    </row>
    <row r="139" spans="1:17" ht="18.649999999999999" customHeight="1">
      <c r="A139" s="6"/>
      <c r="B139" s="6"/>
      <c r="C139" s="6" t="s">
        <v>250</v>
      </c>
      <c r="D139" s="6"/>
      <c r="E139" s="6"/>
      <c r="F139" s="6"/>
      <c r="G139" s="6"/>
      <c r="H139" s="5" t="s">
        <v>89</v>
      </c>
      <c r="I139" s="6" t="s">
        <v>147</v>
      </c>
      <c r="J139" s="6" t="s">
        <v>141</v>
      </c>
      <c r="K139" s="54" t="s">
        <v>78</v>
      </c>
      <c r="L139" s="6">
        <v>225</v>
      </c>
      <c r="M139" s="55" t="s">
        <v>44</v>
      </c>
      <c r="N139" s="56" t="s">
        <v>370</v>
      </c>
      <c r="O139" s="56"/>
      <c r="P139" s="56"/>
      <c r="Q139" s="56"/>
    </row>
    <row r="140" spans="1:17" ht="18.649999999999999" customHeight="1">
      <c r="A140" s="6"/>
      <c r="B140" s="6"/>
      <c r="C140" s="6" t="s">
        <v>231</v>
      </c>
      <c r="D140" s="6"/>
      <c r="E140" s="6"/>
      <c r="F140" s="6"/>
      <c r="G140" s="6"/>
      <c r="H140" s="5" t="s">
        <v>89</v>
      </c>
      <c r="I140" s="6" t="s">
        <v>147</v>
      </c>
      <c r="J140" s="6" t="s">
        <v>358</v>
      </c>
      <c r="K140" s="54" t="s">
        <v>359</v>
      </c>
      <c r="L140" s="6">
        <v>225</v>
      </c>
      <c r="M140" s="55" t="s">
        <v>92</v>
      </c>
      <c r="N140" s="56" t="s">
        <v>360</v>
      </c>
      <c r="O140" s="56"/>
      <c r="P140" s="56"/>
      <c r="Q140" s="56"/>
    </row>
    <row r="141" spans="1:17" ht="18.649999999999999" customHeight="1">
      <c r="A141" s="6"/>
      <c r="B141" s="6"/>
      <c r="C141" s="6" t="s">
        <v>208</v>
      </c>
      <c r="D141" s="6"/>
      <c r="E141" s="6"/>
      <c r="F141" s="6"/>
      <c r="G141" s="6"/>
      <c r="H141" s="5" t="s">
        <v>89</v>
      </c>
      <c r="I141" s="6" t="s">
        <v>362</v>
      </c>
      <c r="J141" s="6" t="s">
        <v>141</v>
      </c>
      <c r="K141" s="54" t="s">
        <v>78</v>
      </c>
      <c r="L141" s="6">
        <v>225</v>
      </c>
      <c r="M141" s="55" t="s">
        <v>44</v>
      </c>
      <c r="N141" s="56" t="s">
        <v>360</v>
      </c>
      <c r="O141" s="56"/>
      <c r="P141" s="56"/>
      <c r="Q141" s="56"/>
    </row>
    <row r="142" spans="1:17" ht="18.649999999999999" customHeight="1">
      <c r="A142" s="6"/>
      <c r="B142" s="6"/>
      <c r="C142" s="6" t="s">
        <v>237</v>
      </c>
      <c r="D142" s="6"/>
      <c r="E142" s="6"/>
      <c r="F142" s="6"/>
      <c r="G142" s="6"/>
      <c r="H142" s="5" t="s">
        <v>89</v>
      </c>
      <c r="I142" s="6" t="s">
        <v>147</v>
      </c>
      <c r="J142" s="6" t="s">
        <v>141</v>
      </c>
      <c r="K142" s="54" t="s">
        <v>78</v>
      </c>
      <c r="L142" s="6">
        <v>225</v>
      </c>
      <c r="M142" s="55" t="s">
        <v>44</v>
      </c>
      <c r="N142" s="56" t="s">
        <v>360</v>
      </c>
      <c r="O142" s="56"/>
      <c r="P142" s="56"/>
      <c r="Q142" s="56"/>
    </row>
    <row r="143" spans="1:17" ht="18.649999999999999" customHeight="1">
      <c r="A143" s="6"/>
      <c r="B143" s="6"/>
      <c r="C143" s="6" t="s">
        <v>214</v>
      </c>
      <c r="D143" s="6"/>
      <c r="E143" s="6"/>
      <c r="F143" s="6"/>
      <c r="G143" s="6"/>
      <c r="H143" s="5" t="s">
        <v>89</v>
      </c>
      <c r="I143" s="6" t="s">
        <v>147</v>
      </c>
      <c r="J143" s="6" t="s">
        <v>363</v>
      </c>
      <c r="K143" s="54" t="s">
        <v>359</v>
      </c>
      <c r="L143" s="6">
        <v>225</v>
      </c>
      <c r="M143" s="55" t="s">
        <v>44</v>
      </c>
      <c r="N143" s="56" t="s">
        <v>360</v>
      </c>
      <c r="O143" s="56"/>
      <c r="P143" s="56"/>
      <c r="Q143" s="56"/>
    </row>
    <row r="144" spans="1:17" ht="18.649999999999999" customHeight="1">
      <c r="A144" s="6"/>
      <c r="B144" s="6"/>
      <c r="C144" s="6" t="s">
        <v>232</v>
      </c>
      <c r="D144" s="6"/>
      <c r="E144" s="6"/>
      <c r="F144" s="6"/>
      <c r="G144" s="6"/>
      <c r="H144" s="5" t="s">
        <v>89</v>
      </c>
      <c r="I144" s="6" t="s">
        <v>147</v>
      </c>
      <c r="J144" s="6" t="s">
        <v>358</v>
      </c>
      <c r="K144" s="54" t="s">
        <v>359</v>
      </c>
      <c r="L144" s="6">
        <v>225</v>
      </c>
      <c r="M144" s="55" t="s">
        <v>44</v>
      </c>
      <c r="N144" s="56" t="s">
        <v>360</v>
      </c>
      <c r="O144" s="56"/>
      <c r="P144" s="56"/>
      <c r="Q144" s="56"/>
    </row>
    <row r="145" spans="1:17" ht="18.649999999999999" customHeight="1">
      <c r="A145" s="6"/>
      <c r="B145" s="6"/>
      <c r="C145" s="6" t="s">
        <v>209</v>
      </c>
      <c r="D145" s="6"/>
      <c r="E145" s="6"/>
      <c r="F145" s="6"/>
      <c r="G145" s="6"/>
      <c r="H145" s="5" t="s">
        <v>89</v>
      </c>
      <c r="I145" s="6" t="s">
        <v>147</v>
      </c>
      <c r="J145" s="6" t="s">
        <v>368</v>
      </c>
      <c r="K145" s="54" t="s">
        <v>562</v>
      </c>
      <c r="L145" s="6">
        <v>225</v>
      </c>
      <c r="M145" s="55" t="s">
        <v>44</v>
      </c>
      <c r="N145" s="56" t="s">
        <v>360</v>
      </c>
      <c r="O145" s="56"/>
      <c r="P145" s="56"/>
      <c r="Q145" s="56"/>
    </row>
    <row r="146" spans="1:17" ht="18.649999999999999" customHeight="1">
      <c r="A146" s="6"/>
      <c r="B146" s="6"/>
      <c r="C146" s="6" t="s">
        <v>238</v>
      </c>
      <c r="D146" s="6"/>
      <c r="E146" s="6" t="s">
        <v>742</v>
      </c>
      <c r="F146" s="6"/>
      <c r="G146" s="6"/>
      <c r="H146" s="5" t="s">
        <v>89</v>
      </c>
      <c r="I146" s="6" t="s">
        <v>147</v>
      </c>
      <c r="J146" s="6" t="s">
        <v>141</v>
      </c>
      <c r="K146" s="54" t="s">
        <v>78</v>
      </c>
      <c r="L146" s="6">
        <v>225</v>
      </c>
      <c r="M146" s="55" t="s">
        <v>92</v>
      </c>
      <c r="N146" s="56" t="s">
        <v>361</v>
      </c>
      <c r="O146" s="56"/>
      <c r="P146" s="56"/>
      <c r="Q146" s="56"/>
    </row>
    <row r="147" spans="1:17" ht="18.649999999999999" customHeight="1">
      <c r="A147" s="18"/>
      <c r="B147" s="18"/>
      <c r="C147" s="18" t="s">
        <v>215</v>
      </c>
      <c r="D147" s="18"/>
      <c r="E147" s="18"/>
      <c r="F147" s="18"/>
      <c r="G147" s="18"/>
      <c r="H147" s="19" t="s">
        <v>89</v>
      </c>
      <c r="I147" s="18" t="s">
        <v>147</v>
      </c>
      <c r="J147" s="18" t="s">
        <v>363</v>
      </c>
      <c r="K147" s="30" t="s">
        <v>359</v>
      </c>
      <c r="L147" s="18">
        <v>225</v>
      </c>
      <c r="M147" s="28" t="s">
        <v>92</v>
      </c>
      <c r="N147" s="20" t="s">
        <v>361</v>
      </c>
      <c r="O147" s="20"/>
      <c r="P147" s="20"/>
      <c r="Q147" s="20"/>
    </row>
    <row r="148" spans="1:17" ht="18.649999999999999" customHeight="1">
      <c r="A148" s="6"/>
      <c r="B148" s="6"/>
      <c r="C148" s="6" t="s">
        <v>233</v>
      </c>
      <c r="D148" s="6"/>
      <c r="E148" s="6"/>
      <c r="F148" s="6"/>
      <c r="G148" s="6"/>
      <c r="H148" s="5" t="s">
        <v>89</v>
      </c>
      <c r="I148" s="6" t="s">
        <v>147</v>
      </c>
      <c r="J148" s="6" t="s">
        <v>358</v>
      </c>
      <c r="K148" s="54" t="s">
        <v>359</v>
      </c>
      <c r="L148" s="6">
        <v>225</v>
      </c>
      <c r="M148" s="55" t="s">
        <v>92</v>
      </c>
      <c r="N148" s="56" t="s">
        <v>361</v>
      </c>
      <c r="O148" s="56"/>
      <c r="P148" s="56"/>
      <c r="Q148" s="56"/>
    </row>
    <row r="149" spans="1:17" ht="18.649999999999999" customHeight="1">
      <c r="A149" s="6"/>
      <c r="B149" s="6"/>
      <c r="C149" s="6" t="s">
        <v>210</v>
      </c>
      <c r="D149" s="6"/>
      <c r="E149" s="6"/>
      <c r="F149" s="6"/>
      <c r="G149" s="6"/>
      <c r="H149" s="5" t="s">
        <v>89</v>
      </c>
      <c r="I149" s="6" t="s">
        <v>147</v>
      </c>
      <c r="J149" s="6" t="s">
        <v>650</v>
      </c>
      <c r="K149" s="54" t="s">
        <v>562</v>
      </c>
      <c r="L149" s="6">
        <v>225</v>
      </c>
      <c r="M149" s="55" t="s">
        <v>92</v>
      </c>
      <c r="N149" s="56" t="s">
        <v>361</v>
      </c>
      <c r="O149" s="56"/>
      <c r="P149" s="56"/>
      <c r="Q149" s="56"/>
    </row>
    <row r="150" spans="1:17" ht="18.649999999999999" customHeight="1">
      <c r="A150" s="6" t="s">
        <v>674</v>
      </c>
      <c r="B150" s="6"/>
      <c r="C150" s="6" t="s">
        <v>662</v>
      </c>
      <c r="D150" s="6"/>
      <c r="E150" s="6" t="s">
        <v>610</v>
      </c>
      <c r="F150" s="6"/>
      <c r="G150" s="6"/>
      <c r="H150" s="5" t="s">
        <v>89</v>
      </c>
      <c r="I150" s="6" t="s">
        <v>147</v>
      </c>
      <c r="J150" s="6" t="s">
        <v>141</v>
      </c>
      <c r="K150" s="54" t="s">
        <v>78</v>
      </c>
      <c r="L150" s="6">
        <v>225</v>
      </c>
      <c r="M150" s="55" t="s">
        <v>44</v>
      </c>
      <c r="N150" s="56" t="s">
        <v>361</v>
      </c>
      <c r="O150" s="56"/>
      <c r="P150" s="56"/>
      <c r="Q150" s="56"/>
    </row>
    <row r="151" spans="1:17" ht="18.649999999999999" customHeight="1">
      <c r="A151" s="6"/>
      <c r="B151" s="6"/>
      <c r="C151" s="6" t="s">
        <v>207</v>
      </c>
      <c r="D151" s="6"/>
      <c r="E151" s="6"/>
      <c r="F151" s="6"/>
      <c r="G151" s="6"/>
      <c r="H151" s="5" t="s">
        <v>89</v>
      </c>
      <c r="I151" s="6" t="s">
        <v>357</v>
      </c>
      <c r="J151" s="6" t="s">
        <v>141</v>
      </c>
      <c r="K151" s="54" t="s">
        <v>78</v>
      </c>
      <c r="L151" s="6">
        <v>225</v>
      </c>
      <c r="M151" s="55" t="s">
        <v>44</v>
      </c>
      <c r="N151" s="56" t="s">
        <v>361</v>
      </c>
      <c r="O151" s="56"/>
      <c r="P151" s="56"/>
      <c r="Q151" s="56"/>
    </row>
    <row r="152" spans="1:17" ht="18.649999999999999" customHeight="1">
      <c r="A152" s="6"/>
      <c r="B152" s="6"/>
      <c r="C152" s="6" t="s">
        <v>696</v>
      </c>
      <c r="D152" s="6"/>
      <c r="E152" s="6"/>
      <c r="F152" s="6"/>
      <c r="G152" s="6"/>
      <c r="H152" s="5" t="s">
        <v>89</v>
      </c>
      <c r="I152" s="6" t="s">
        <v>362</v>
      </c>
      <c r="J152" s="6" t="s">
        <v>141</v>
      </c>
      <c r="K152" s="54" t="s">
        <v>78</v>
      </c>
      <c r="L152" s="6">
        <v>225</v>
      </c>
      <c r="M152" s="55" t="s">
        <v>44</v>
      </c>
      <c r="N152" s="56" t="s">
        <v>361</v>
      </c>
      <c r="O152" s="56"/>
      <c r="P152" s="56"/>
      <c r="Q152" s="56"/>
    </row>
    <row r="153" spans="1:17" ht="18.649999999999999" customHeight="1">
      <c r="A153" s="6"/>
      <c r="B153" s="6"/>
      <c r="C153" s="6" t="s">
        <v>239</v>
      </c>
      <c r="D153" s="6"/>
      <c r="E153" s="6"/>
      <c r="F153" s="6"/>
      <c r="G153" s="6"/>
      <c r="H153" s="5" t="s">
        <v>89</v>
      </c>
      <c r="I153" s="6" t="s">
        <v>147</v>
      </c>
      <c r="J153" s="6" t="s">
        <v>141</v>
      </c>
      <c r="K153" s="54" t="s">
        <v>78</v>
      </c>
      <c r="L153" s="6">
        <v>225</v>
      </c>
      <c r="M153" s="55" t="s">
        <v>44</v>
      </c>
      <c r="N153" s="56" t="s">
        <v>361</v>
      </c>
      <c r="O153" s="56"/>
      <c r="P153" s="56"/>
      <c r="Q153" s="56"/>
    </row>
    <row r="154" spans="1:17" ht="18.649999999999999" customHeight="1">
      <c r="A154" s="6"/>
      <c r="B154" s="6"/>
      <c r="C154" s="6" t="s">
        <v>695</v>
      </c>
      <c r="D154" s="53"/>
      <c r="E154" s="6"/>
      <c r="F154" s="6"/>
      <c r="G154" s="6"/>
      <c r="H154" s="5" t="s">
        <v>89</v>
      </c>
      <c r="I154" s="6" t="s">
        <v>147</v>
      </c>
      <c r="J154" s="6" t="s">
        <v>141</v>
      </c>
      <c r="K154" s="54" t="s">
        <v>78</v>
      </c>
      <c r="L154" s="6">
        <v>225</v>
      </c>
      <c r="M154" s="55" t="s">
        <v>44</v>
      </c>
      <c r="N154" s="56" t="s">
        <v>361</v>
      </c>
      <c r="O154" s="57"/>
      <c r="P154" s="56"/>
      <c r="Q154" s="53"/>
    </row>
    <row r="155" spans="1:17" ht="18.649999999999999" customHeight="1">
      <c r="A155" s="6"/>
      <c r="B155" s="6"/>
      <c r="C155" s="6" t="s">
        <v>652</v>
      </c>
      <c r="D155" s="6"/>
      <c r="E155" s="6"/>
      <c r="F155" s="6"/>
      <c r="G155" s="6"/>
      <c r="H155" s="5" t="s">
        <v>89</v>
      </c>
      <c r="I155" s="6" t="s">
        <v>147</v>
      </c>
      <c r="J155" s="6" t="s">
        <v>651</v>
      </c>
      <c r="K155" s="54" t="s">
        <v>359</v>
      </c>
      <c r="L155" s="6">
        <v>225</v>
      </c>
      <c r="M155" s="55" t="s">
        <v>44</v>
      </c>
      <c r="N155" s="56" t="s">
        <v>361</v>
      </c>
      <c r="O155" s="56"/>
      <c r="P155" s="56"/>
      <c r="Q155" s="56"/>
    </row>
    <row r="156" spans="1:17" ht="18.649999999999999" customHeight="1">
      <c r="A156" s="6"/>
      <c r="B156" s="6"/>
      <c r="C156" s="6" t="s">
        <v>234</v>
      </c>
      <c r="D156" s="6"/>
      <c r="E156" s="6"/>
      <c r="F156" s="6"/>
      <c r="G156" s="6"/>
      <c r="H156" s="5" t="s">
        <v>89</v>
      </c>
      <c r="I156" s="6" t="s">
        <v>147</v>
      </c>
      <c r="J156" s="6" t="s">
        <v>358</v>
      </c>
      <c r="K156" s="54" t="s">
        <v>359</v>
      </c>
      <c r="L156" s="6">
        <v>225</v>
      </c>
      <c r="M156" s="55" t="s">
        <v>44</v>
      </c>
      <c r="N156" s="56" t="s">
        <v>361</v>
      </c>
      <c r="O156" s="56"/>
      <c r="P156" s="56"/>
      <c r="Q156" s="56"/>
    </row>
    <row r="157" spans="1:17" ht="18.649999999999999" customHeight="1">
      <c r="A157" s="6"/>
      <c r="B157" s="6"/>
      <c r="C157" s="6" t="s">
        <v>653</v>
      </c>
      <c r="D157" s="6"/>
      <c r="E157" s="6"/>
      <c r="F157" s="6"/>
      <c r="G157" s="6"/>
      <c r="H157" s="5" t="s">
        <v>89</v>
      </c>
      <c r="I157" s="6" t="s">
        <v>147</v>
      </c>
      <c r="J157" s="6" t="s">
        <v>650</v>
      </c>
      <c r="K157" s="54" t="s">
        <v>562</v>
      </c>
      <c r="L157" s="6">
        <v>225</v>
      </c>
      <c r="M157" s="55" t="s">
        <v>44</v>
      </c>
      <c r="N157" s="56" t="s">
        <v>361</v>
      </c>
      <c r="O157" s="56"/>
      <c r="P157" s="56"/>
      <c r="Q157" s="56"/>
    </row>
    <row r="158" spans="1:17" ht="18.649999999999999" customHeight="1">
      <c r="A158" s="6"/>
      <c r="B158" s="6"/>
      <c r="C158" s="6" t="s">
        <v>226</v>
      </c>
      <c r="D158" s="6"/>
      <c r="E158" s="6"/>
      <c r="F158" s="6"/>
      <c r="G158" s="6"/>
      <c r="H158" s="5" t="s">
        <v>89</v>
      </c>
      <c r="I158" s="6" t="s">
        <v>147</v>
      </c>
      <c r="J158" s="6" t="s">
        <v>365</v>
      </c>
      <c r="K158" s="54" t="s">
        <v>562</v>
      </c>
      <c r="L158" s="6">
        <v>225</v>
      </c>
      <c r="M158" s="55" t="s">
        <v>44</v>
      </c>
      <c r="N158" s="56" t="s">
        <v>361</v>
      </c>
      <c r="O158" s="56"/>
      <c r="P158" s="56"/>
      <c r="Q158" s="56"/>
    </row>
    <row r="159" spans="1:17" ht="18.649999999999999" customHeight="1">
      <c r="A159" s="18"/>
      <c r="B159" s="18"/>
      <c r="C159" s="18"/>
      <c r="D159" s="18" t="s">
        <v>189</v>
      </c>
      <c r="E159" s="18" t="s">
        <v>880</v>
      </c>
      <c r="F159" s="18"/>
      <c r="G159" s="18"/>
      <c r="H159" s="19" t="s">
        <v>5</v>
      </c>
      <c r="I159" s="18"/>
      <c r="J159" s="18" t="s">
        <v>43</v>
      </c>
      <c r="K159" s="30" t="s">
        <v>78</v>
      </c>
      <c r="L159" s="18">
        <v>226</v>
      </c>
      <c r="M159" s="28" t="s">
        <v>39</v>
      </c>
      <c r="N159" s="20" t="s">
        <v>190</v>
      </c>
      <c r="O159" s="20"/>
      <c r="P159" s="20"/>
      <c r="Q159" s="20"/>
    </row>
    <row r="160" spans="1:17" ht="18.649999999999999" customHeight="1">
      <c r="A160" s="79" t="s">
        <v>91</v>
      </c>
      <c r="B160" s="12"/>
      <c r="C160" s="12" t="s">
        <v>793</v>
      </c>
      <c r="D160" s="12"/>
      <c r="E160" s="12" t="s">
        <v>93</v>
      </c>
      <c r="F160" s="12"/>
      <c r="G160" s="12"/>
      <c r="H160" s="13" t="s">
        <v>89</v>
      </c>
      <c r="I160" s="12" t="s">
        <v>90</v>
      </c>
      <c r="J160" s="14" t="s">
        <v>80</v>
      </c>
      <c r="K160" s="15" t="s">
        <v>78</v>
      </c>
      <c r="L160" s="12">
        <v>475</v>
      </c>
      <c r="M160" s="28" t="s">
        <v>92</v>
      </c>
      <c r="N160" s="16" t="s">
        <v>77</v>
      </c>
      <c r="O160" s="64"/>
      <c r="P160" s="12"/>
      <c r="Q160" s="12"/>
    </row>
    <row r="161" spans="1:17" ht="18.649999999999999" customHeight="1">
      <c r="A161" s="6" t="s">
        <v>771</v>
      </c>
      <c r="B161" s="6"/>
      <c r="C161" s="6" t="s">
        <v>571</v>
      </c>
      <c r="D161" s="6"/>
      <c r="E161" s="6" t="s">
        <v>772</v>
      </c>
      <c r="F161" s="6"/>
      <c r="G161" s="6"/>
      <c r="H161" s="5" t="s">
        <v>89</v>
      </c>
      <c r="I161" s="6" t="s">
        <v>147</v>
      </c>
      <c r="J161" s="6" t="s">
        <v>141</v>
      </c>
      <c r="K161" s="54" t="s">
        <v>78</v>
      </c>
      <c r="L161" s="6">
        <v>475</v>
      </c>
      <c r="M161" s="55" t="s">
        <v>44</v>
      </c>
      <c r="N161" s="56" t="s">
        <v>364</v>
      </c>
      <c r="O161" s="63"/>
      <c r="P161" s="56"/>
      <c r="Q161" s="56"/>
    </row>
    <row r="162" spans="1:17" ht="18.649999999999999" customHeight="1">
      <c r="A162" s="18" t="s">
        <v>187</v>
      </c>
      <c r="B162" s="18"/>
      <c r="C162" s="18"/>
      <c r="D162" s="18"/>
      <c r="E162" s="18" t="s">
        <v>717</v>
      </c>
      <c r="F162" s="18"/>
      <c r="G162" s="18"/>
      <c r="H162" s="13" t="s">
        <v>89</v>
      </c>
      <c r="I162" s="12" t="s">
        <v>6</v>
      </c>
      <c r="J162" s="14" t="s">
        <v>43</v>
      </c>
      <c r="K162" s="15" t="s">
        <v>78</v>
      </c>
      <c r="L162" s="12">
        <v>475</v>
      </c>
      <c r="M162" s="28" t="s">
        <v>44</v>
      </c>
      <c r="N162" s="16" t="s">
        <v>62</v>
      </c>
      <c r="O162" s="27"/>
      <c r="P162" s="20"/>
      <c r="Q162" s="20"/>
    </row>
    <row r="163" spans="1:17" ht="18.649999999999999" customHeight="1">
      <c r="A163" s="6"/>
      <c r="B163" s="6"/>
      <c r="C163" s="6" t="s">
        <v>261</v>
      </c>
      <c r="D163" s="6"/>
      <c r="E163" s="6"/>
      <c r="F163" s="6"/>
      <c r="G163" s="6"/>
      <c r="H163" s="5" t="s">
        <v>89</v>
      </c>
      <c r="I163" s="6" t="s">
        <v>147</v>
      </c>
      <c r="J163" s="6" t="s">
        <v>141</v>
      </c>
      <c r="K163" s="54" t="s">
        <v>78</v>
      </c>
      <c r="L163" s="6">
        <v>475</v>
      </c>
      <c r="M163" s="55" t="s">
        <v>44</v>
      </c>
      <c r="N163" s="56" t="s">
        <v>367</v>
      </c>
      <c r="O163" s="63"/>
      <c r="P163" s="56"/>
      <c r="Q163" s="56"/>
    </row>
    <row r="164" spans="1:17" ht="18.649999999999999" customHeight="1">
      <c r="A164" s="6"/>
      <c r="B164" s="6"/>
      <c r="C164" s="6" t="s">
        <v>257</v>
      </c>
      <c r="D164" s="6"/>
      <c r="E164" s="6"/>
      <c r="F164" s="6"/>
      <c r="G164" s="6"/>
      <c r="H164" s="5" t="s">
        <v>89</v>
      </c>
      <c r="I164" s="6" t="s">
        <v>147</v>
      </c>
      <c r="J164" s="6" t="s">
        <v>141</v>
      </c>
      <c r="K164" s="54" t="s">
        <v>78</v>
      </c>
      <c r="L164" s="6">
        <v>475</v>
      </c>
      <c r="M164" s="55" t="s">
        <v>44</v>
      </c>
      <c r="N164" s="56" t="s">
        <v>366</v>
      </c>
      <c r="O164" s="63"/>
      <c r="P164" s="56"/>
      <c r="Q164" s="56"/>
    </row>
    <row r="165" spans="1:17" ht="18.649999999999999" customHeight="1">
      <c r="A165" s="6"/>
      <c r="B165" s="6"/>
      <c r="C165" s="6" t="s">
        <v>256</v>
      </c>
      <c r="D165" s="6"/>
      <c r="E165" s="6"/>
      <c r="F165" s="6"/>
      <c r="G165" s="6"/>
      <c r="H165" s="5" t="s">
        <v>89</v>
      </c>
      <c r="I165" s="6" t="s">
        <v>147</v>
      </c>
      <c r="J165" s="6" t="s">
        <v>358</v>
      </c>
      <c r="K165" s="54" t="s">
        <v>359</v>
      </c>
      <c r="L165" s="6">
        <v>475</v>
      </c>
      <c r="M165" s="55" t="s">
        <v>44</v>
      </c>
      <c r="N165" s="56" t="s">
        <v>366</v>
      </c>
      <c r="O165" s="63"/>
      <c r="P165" s="56"/>
      <c r="Q165" s="56"/>
    </row>
    <row r="166" spans="1:17" ht="18.649999999999999" customHeight="1">
      <c r="A166" s="6"/>
      <c r="B166" s="6"/>
      <c r="C166" s="6" t="s">
        <v>254</v>
      </c>
      <c r="D166" s="6"/>
      <c r="E166" s="6"/>
      <c r="F166" s="6"/>
      <c r="G166" s="6"/>
      <c r="H166" s="5" t="s">
        <v>89</v>
      </c>
      <c r="I166" s="6" t="s">
        <v>362</v>
      </c>
      <c r="J166" s="6" t="s">
        <v>141</v>
      </c>
      <c r="K166" s="54" t="s">
        <v>78</v>
      </c>
      <c r="L166" s="6">
        <v>475</v>
      </c>
      <c r="M166" s="55" t="s">
        <v>44</v>
      </c>
      <c r="N166" s="56" t="s">
        <v>360</v>
      </c>
      <c r="O166" s="63"/>
      <c r="P166" s="56"/>
      <c r="Q166" s="56"/>
    </row>
    <row r="167" spans="1:17" ht="18.649999999999999" customHeight="1">
      <c r="A167" s="6"/>
      <c r="B167" s="6"/>
      <c r="C167" s="6" t="s">
        <v>258</v>
      </c>
      <c r="D167" s="6"/>
      <c r="E167" s="6"/>
      <c r="F167" s="6"/>
      <c r="G167" s="6"/>
      <c r="H167" s="5" t="s">
        <v>89</v>
      </c>
      <c r="I167" s="6" t="s">
        <v>147</v>
      </c>
      <c r="J167" s="6" t="s">
        <v>141</v>
      </c>
      <c r="K167" s="54" t="s">
        <v>78</v>
      </c>
      <c r="L167" s="6">
        <v>475</v>
      </c>
      <c r="M167" s="55" t="s">
        <v>44</v>
      </c>
      <c r="N167" s="56" t="s">
        <v>360</v>
      </c>
      <c r="O167" s="63"/>
      <c r="P167" s="56"/>
      <c r="Q167" s="56"/>
    </row>
    <row r="168" spans="1:17" ht="18.649999999999999" customHeight="1">
      <c r="A168" s="6"/>
      <c r="B168" s="6"/>
      <c r="C168" s="6" t="s">
        <v>259</v>
      </c>
      <c r="D168" s="6"/>
      <c r="E168" s="6"/>
      <c r="F168" s="6"/>
      <c r="G168" s="6"/>
      <c r="H168" s="5" t="s">
        <v>89</v>
      </c>
      <c r="I168" s="6" t="s">
        <v>147</v>
      </c>
      <c r="J168" s="6" t="s">
        <v>141</v>
      </c>
      <c r="K168" s="54" t="s">
        <v>78</v>
      </c>
      <c r="L168" s="6">
        <v>475</v>
      </c>
      <c r="M168" s="55" t="s">
        <v>44</v>
      </c>
      <c r="N168" s="56" t="s">
        <v>360</v>
      </c>
      <c r="O168" s="63"/>
      <c r="P168" s="56"/>
      <c r="Q168" s="56"/>
    </row>
    <row r="169" spans="1:17" ht="18.649999999999999" customHeight="1">
      <c r="A169" s="79" t="s">
        <v>798</v>
      </c>
      <c r="B169" s="12"/>
      <c r="C169" s="12" t="s">
        <v>572</v>
      </c>
      <c r="D169" s="12" t="s">
        <v>862</v>
      </c>
      <c r="E169" s="12" t="s">
        <v>7</v>
      </c>
      <c r="F169" s="12" t="s">
        <v>51</v>
      </c>
      <c r="G169" s="12"/>
      <c r="H169" s="13" t="s">
        <v>89</v>
      </c>
      <c r="I169" s="12" t="s">
        <v>90</v>
      </c>
      <c r="J169" s="14" t="s">
        <v>80</v>
      </c>
      <c r="K169" s="15" t="s">
        <v>78</v>
      </c>
      <c r="L169" s="12">
        <v>475</v>
      </c>
      <c r="M169" s="28" t="s">
        <v>44</v>
      </c>
      <c r="N169" s="16" t="s">
        <v>82</v>
      </c>
      <c r="O169" s="64"/>
      <c r="P169" s="12"/>
      <c r="Q169" s="12"/>
    </row>
    <row r="170" spans="1:17" ht="18.649999999999999" customHeight="1">
      <c r="A170" s="6"/>
      <c r="B170" s="6"/>
      <c r="C170" s="6" t="s">
        <v>255</v>
      </c>
      <c r="D170" s="6"/>
      <c r="E170" s="6"/>
      <c r="F170" s="6"/>
      <c r="G170" s="6"/>
      <c r="H170" s="5" t="s">
        <v>89</v>
      </c>
      <c r="I170" s="6" t="s">
        <v>362</v>
      </c>
      <c r="J170" s="6" t="s">
        <v>141</v>
      </c>
      <c r="K170" s="54" t="s">
        <v>78</v>
      </c>
      <c r="L170" s="6">
        <v>475</v>
      </c>
      <c r="M170" s="55" t="s">
        <v>44</v>
      </c>
      <c r="N170" s="56" t="s">
        <v>361</v>
      </c>
      <c r="O170" s="63"/>
      <c r="P170" s="56"/>
      <c r="Q170" s="56"/>
    </row>
    <row r="171" spans="1:17" ht="18.649999999999999" customHeight="1">
      <c r="A171" s="6"/>
      <c r="B171" s="6"/>
      <c r="C171" s="6" t="s">
        <v>260</v>
      </c>
      <c r="D171" s="6"/>
      <c r="E171" s="6"/>
      <c r="F171" s="6"/>
      <c r="G171" s="6"/>
      <c r="H171" s="5" t="s">
        <v>89</v>
      </c>
      <c r="I171" s="6" t="s">
        <v>147</v>
      </c>
      <c r="J171" s="6" t="s">
        <v>141</v>
      </c>
      <c r="K171" s="54" t="s">
        <v>78</v>
      </c>
      <c r="L171" s="6">
        <v>475</v>
      </c>
      <c r="M171" s="55" t="s">
        <v>44</v>
      </c>
      <c r="N171" s="56" t="s">
        <v>361</v>
      </c>
      <c r="O171" s="63"/>
      <c r="P171" s="56"/>
      <c r="Q171" s="56"/>
    </row>
    <row r="172" spans="1:17" ht="18.649999999999999" customHeight="1">
      <c r="A172" s="4" t="s">
        <v>675</v>
      </c>
      <c r="B172" s="4"/>
      <c r="C172" s="4"/>
      <c r="D172" s="4"/>
      <c r="E172" s="4"/>
      <c r="F172" s="4"/>
      <c r="G172" s="4"/>
      <c r="H172" s="29" t="s">
        <v>89</v>
      </c>
      <c r="I172" s="4" t="s">
        <v>6</v>
      </c>
      <c r="J172" s="22" t="s">
        <v>43</v>
      </c>
      <c r="K172" s="8" t="s">
        <v>78</v>
      </c>
      <c r="L172" s="4">
        <v>475</v>
      </c>
      <c r="M172" s="55" t="s">
        <v>44</v>
      </c>
      <c r="N172" s="60" t="s">
        <v>65</v>
      </c>
      <c r="O172" s="61"/>
      <c r="P172" s="4"/>
      <c r="Q172" s="4"/>
    </row>
    <row r="173" spans="1:17" ht="18.649999999999999" customHeight="1">
      <c r="A173" s="4"/>
      <c r="B173" s="12"/>
      <c r="C173" s="4" t="s">
        <v>853</v>
      </c>
      <c r="D173" s="4"/>
      <c r="E173" s="4" t="s">
        <v>857</v>
      </c>
      <c r="F173" s="4"/>
      <c r="G173" s="4"/>
      <c r="H173" s="5" t="s">
        <v>108</v>
      </c>
      <c r="I173" s="6" t="s">
        <v>371</v>
      </c>
      <c r="J173" s="6" t="s">
        <v>41</v>
      </c>
      <c r="K173" s="54" t="s">
        <v>562</v>
      </c>
      <c r="L173" s="4">
        <v>332</v>
      </c>
      <c r="M173" s="55" t="s">
        <v>42</v>
      </c>
      <c r="N173" s="56" t="s">
        <v>64</v>
      </c>
      <c r="O173" s="4"/>
      <c r="P173" s="4"/>
      <c r="Q173" s="4"/>
    </row>
    <row r="174" spans="1:17" ht="18.649999999999999" customHeight="1">
      <c r="A174" s="4"/>
      <c r="B174" s="12"/>
      <c r="C174" s="4" t="s">
        <v>854</v>
      </c>
      <c r="D174" s="4"/>
      <c r="E174" s="4" t="s">
        <v>858</v>
      </c>
      <c r="F174" s="4"/>
      <c r="G174" s="4"/>
      <c r="H174" s="5" t="s">
        <v>108</v>
      </c>
      <c r="I174" s="6" t="s">
        <v>371</v>
      </c>
      <c r="J174" s="6" t="s">
        <v>40</v>
      </c>
      <c r="K174" s="54" t="s">
        <v>562</v>
      </c>
      <c r="L174" s="4">
        <v>222</v>
      </c>
      <c r="M174" s="55" t="s">
        <v>20</v>
      </c>
      <c r="N174" s="56" t="s">
        <v>64</v>
      </c>
      <c r="O174" s="4"/>
      <c r="P174" s="4"/>
      <c r="Q174" s="4"/>
    </row>
    <row r="175" spans="1:17" ht="18.649999999999999" customHeight="1">
      <c r="A175" s="4"/>
      <c r="B175" s="12"/>
      <c r="C175" s="4" t="s">
        <v>855</v>
      </c>
      <c r="D175" s="4"/>
      <c r="E175" s="4" t="s">
        <v>859</v>
      </c>
      <c r="F175" s="4"/>
      <c r="G175" s="4"/>
      <c r="H175" s="5" t="s">
        <v>108</v>
      </c>
      <c r="I175" s="6" t="s">
        <v>371</v>
      </c>
      <c r="J175" s="6" t="s">
        <v>40</v>
      </c>
      <c r="K175" s="54" t="s">
        <v>562</v>
      </c>
      <c r="L175" s="4">
        <v>472</v>
      </c>
      <c r="M175" s="55" t="s">
        <v>20</v>
      </c>
      <c r="N175" s="56" t="s">
        <v>64</v>
      </c>
      <c r="O175" s="4"/>
      <c r="P175" s="4"/>
      <c r="Q175" s="4"/>
    </row>
    <row r="176" spans="1:17" ht="18.649999999999999" customHeight="1">
      <c r="A176" s="4" t="s">
        <v>856</v>
      </c>
      <c r="B176" s="12"/>
      <c r="C176" s="4"/>
      <c r="D176" s="4"/>
      <c r="E176" s="4" t="s">
        <v>861</v>
      </c>
      <c r="F176" s="4"/>
      <c r="G176" s="4"/>
      <c r="H176" s="5" t="s">
        <v>108</v>
      </c>
      <c r="I176" s="6" t="s">
        <v>371</v>
      </c>
      <c r="J176" s="6" t="s">
        <v>141</v>
      </c>
      <c r="K176" s="54" t="s">
        <v>78</v>
      </c>
      <c r="L176" s="4">
        <v>226</v>
      </c>
      <c r="M176" s="55" t="s">
        <v>44</v>
      </c>
      <c r="N176" s="56" t="s">
        <v>860</v>
      </c>
      <c r="O176" s="4"/>
      <c r="P176" s="4"/>
      <c r="Q176" s="4"/>
    </row>
    <row r="177" spans="1:17" ht="18.649999999999999" customHeight="1">
      <c r="A177" s="6"/>
      <c r="B177" s="6"/>
      <c r="C177" s="6" t="s">
        <v>439</v>
      </c>
      <c r="D177" s="53"/>
      <c r="E177" s="6" t="s">
        <v>440</v>
      </c>
      <c r="F177" s="6"/>
      <c r="G177" s="6"/>
      <c r="H177" s="29" t="s">
        <v>108</v>
      </c>
      <c r="I177" s="4" t="s">
        <v>11</v>
      </c>
      <c r="J177" s="6" t="s">
        <v>41</v>
      </c>
      <c r="K177" s="54" t="s">
        <v>562</v>
      </c>
      <c r="L177" s="6">
        <v>100</v>
      </c>
      <c r="M177" s="55" t="s">
        <v>42</v>
      </c>
      <c r="N177" s="56" t="s">
        <v>64</v>
      </c>
      <c r="O177" s="56"/>
      <c r="P177" s="56"/>
      <c r="Q177" s="53"/>
    </row>
    <row r="178" spans="1:17" ht="18.649999999999999" customHeight="1">
      <c r="A178" s="18"/>
      <c r="B178" s="18"/>
      <c r="C178" s="18" t="s">
        <v>173</v>
      </c>
      <c r="D178" s="18"/>
      <c r="E178" s="18" t="s">
        <v>34</v>
      </c>
      <c r="F178" s="18"/>
      <c r="G178" s="18"/>
      <c r="H178" s="19" t="s">
        <v>108</v>
      </c>
      <c r="I178" s="18" t="s">
        <v>11</v>
      </c>
      <c r="J178" s="18" t="s">
        <v>81</v>
      </c>
      <c r="K178" s="30" t="s">
        <v>562</v>
      </c>
      <c r="L178" s="18">
        <v>101</v>
      </c>
      <c r="M178" s="28" t="s">
        <v>22</v>
      </c>
      <c r="N178" s="20" t="s">
        <v>64</v>
      </c>
      <c r="O178" s="20"/>
      <c r="P178" s="20"/>
      <c r="Q178" s="20"/>
    </row>
    <row r="179" spans="1:17" ht="18.649999999999999" customHeight="1">
      <c r="A179" s="6"/>
      <c r="B179" s="6"/>
      <c r="C179" s="6"/>
      <c r="D179" s="6"/>
      <c r="E179" s="6" t="s">
        <v>35</v>
      </c>
      <c r="F179" s="6"/>
      <c r="G179" s="6" t="s">
        <v>37</v>
      </c>
      <c r="H179" s="5" t="s">
        <v>108</v>
      </c>
      <c r="I179" s="6" t="s">
        <v>11</v>
      </c>
      <c r="J179" s="6" t="s">
        <v>40</v>
      </c>
      <c r="K179" s="54" t="s">
        <v>562</v>
      </c>
      <c r="L179" s="6">
        <v>102</v>
      </c>
      <c r="M179" s="55" t="s">
        <v>20</v>
      </c>
      <c r="N179" s="56" t="s">
        <v>64</v>
      </c>
      <c r="O179" s="56"/>
      <c r="P179" s="56"/>
      <c r="Q179" s="56"/>
    </row>
    <row r="180" spans="1:17" ht="18.649999999999999" customHeight="1">
      <c r="A180" s="6"/>
      <c r="B180" s="6"/>
      <c r="C180" s="6" t="s">
        <v>441</v>
      </c>
      <c r="D180" s="53"/>
      <c r="E180" s="6" t="s">
        <v>442</v>
      </c>
      <c r="F180" s="6"/>
      <c r="G180" s="6"/>
      <c r="H180" s="29" t="s">
        <v>108</v>
      </c>
      <c r="I180" s="4" t="s">
        <v>11</v>
      </c>
      <c r="J180" s="6" t="s">
        <v>41</v>
      </c>
      <c r="K180" s="54" t="s">
        <v>562</v>
      </c>
      <c r="L180" s="6">
        <v>102</v>
      </c>
      <c r="M180" s="55" t="s">
        <v>42</v>
      </c>
      <c r="N180" s="56" t="s">
        <v>64</v>
      </c>
      <c r="O180" s="56"/>
      <c r="P180" s="56"/>
      <c r="Q180" s="53"/>
    </row>
    <row r="181" spans="1:17" ht="18.649999999999999" customHeight="1">
      <c r="A181" s="6"/>
      <c r="B181" s="6"/>
      <c r="C181" s="6" t="s">
        <v>488</v>
      </c>
      <c r="D181" s="6"/>
      <c r="E181" s="6" t="s">
        <v>36</v>
      </c>
      <c r="F181" s="6"/>
      <c r="G181" s="6" t="s">
        <v>38</v>
      </c>
      <c r="H181" s="5" t="s">
        <v>108</v>
      </c>
      <c r="I181" s="6" t="s">
        <v>371</v>
      </c>
      <c r="J181" s="6" t="s">
        <v>403</v>
      </c>
      <c r="K181" s="54" t="s">
        <v>562</v>
      </c>
      <c r="L181" s="6">
        <v>103</v>
      </c>
      <c r="M181" s="55" t="s">
        <v>92</v>
      </c>
      <c r="N181" s="56" t="s">
        <v>375</v>
      </c>
      <c r="O181" s="63"/>
      <c r="P181" s="56"/>
      <c r="Q181" s="56"/>
    </row>
    <row r="182" spans="1:17" ht="18.649999999999999" customHeight="1">
      <c r="A182" s="18"/>
      <c r="B182" s="18"/>
      <c r="C182" s="21" t="s">
        <v>490</v>
      </c>
      <c r="D182" s="18"/>
      <c r="E182" s="18" t="s">
        <v>12</v>
      </c>
      <c r="F182" s="18"/>
      <c r="G182" s="18" t="s">
        <v>619</v>
      </c>
      <c r="H182" s="19" t="s">
        <v>108</v>
      </c>
      <c r="I182" s="18" t="s">
        <v>11</v>
      </c>
      <c r="J182" s="18" t="s">
        <v>40</v>
      </c>
      <c r="K182" s="30" t="s">
        <v>562</v>
      </c>
      <c r="L182" s="18">
        <v>104</v>
      </c>
      <c r="M182" s="28" t="s">
        <v>20</v>
      </c>
      <c r="N182" s="20" t="s">
        <v>63</v>
      </c>
      <c r="O182" s="27"/>
      <c r="P182" s="20"/>
      <c r="Q182" s="20"/>
    </row>
    <row r="183" spans="1:17" ht="18.649999999999999" customHeight="1">
      <c r="A183" s="6" t="s">
        <v>682</v>
      </c>
      <c r="B183" s="6"/>
      <c r="C183" s="6"/>
      <c r="D183" s="53"/>
      <c r="E183" s="6" t="s">
        <v>735</v>
      </c>
      <c r="F183" s="6"/>
      <c r="G183" s="6"/>
      <c r="H183" s="5" t="s">
        <v>108</v>
      </c>
      <c r="I183" s="4" t="s">
        <v>371</v>
      </c>
      <c r="J183" s="6" t="s">
        <v>403</v>
      </c>
      <c r="K183" s="54" t="s">
        <v>562</v>
      </c>
      <c r="L183" s="6">
        <v>105</v>
      </c>
      <c r="M183" s="55" t="s">
        <v>92</v>
      </c>
      <c r="N183" s="56" t="s">
        <v>367</v>
      </c>
      <c r="O183" s="57"/>
      <c r="P183" s="56"/>
      <c r="Q183" s="53"/>
    </row>
    <row r="184" spans="1:17" ht="18.649999999999999" customHeight="1">
      <c r="A184" s="6"/>
      <c r="B184" s="6"/>
      <c r="C184" s="6" t="s">
        <v>499</v>
      </c>
      <c r="D184" s="53"/>
      <c r="E184" s="6"/>
      <c r="F184" s="6"/>
      <c r="G184" s="6"/>
      <c r="H184" s="29" t="s">
        <v>108</v>
      </c>
      <c r="I184" s="4" t="s">
        <v>371</v>
      </c>
      <c r="J184" s="6" t="s">
        <v>368</v>
      </c>
      <c r="K184" s="54" t="s">
        <v>562</v>
      </c>
      <c r="L184" s="6">
        <v>105</v>
      </c>
      <c r="M184" s="55" t="s">
        <v>92</v>
      </c>
      <c r="N184" s="56" t="s">
        <v>367</v>
      </c>
      <c r="O184" s="57"/>
      <c r="P184" s="56"/>
      <c r="Q184" s="53"/>
    </row>
    <row r="185" spans="1:17" ht="18.649999999999999" customHeight="1">
      <c r="A185" s="6"/>
      <c r="B185" s="6"/>
      <c r="C185" s="6" t="s">
        <v>501</v>
      </c>
      <c r="D185" s="53"/>
      <c r="E185" s="6"/>
      <c r="F185" s="6"/>
      <c r="G185" s="6"/>
      <c r="H185" s="29" t="s">
        <v>108</v>
      </c>
      <c r="I185" s="4" t="s">
        <v>371</v>
      </c>
      <c r="J185" s="6" t="s">
        <v>368</v>
      </c>
      <c r="K185" s="54" t="s">
        <v>562</v>
      </c>
      <c r="L185" s="6">
        <v>105</v>
      </c>
      <c r="M185" s="55" t="s">
        <v>92</v>
      </c>
      <c r="N185" s="56" t="s">
        <v>367</v>
      </c>
      <c r="O185" s="57"/>
      <c r="P185" s="56"/>
      <c r="Q185" s="53"/>
    </row>
    <row r="186" spans="1:17" ht="18.649999999999999" customHeight="1">
      <c r="A186" s="6" t="s">
        <v>776</v>
      </c>
      <c r="B186" s="6"/>
      <c r="C186" s="6" t="s">
        <v>169</v>
      </c>
      <c r="D186" s="6"/>
      <c r="E186" s="6" t="s">
        <v>168</v>
      </c>
      <c r="F186" s="6"/>
      <c r="G186" s="62" t="s">
        <v>620</v>
      </c>
      <c r="H186" s="5" t="s">
        <v>108</v>
      </c>
      <c r="I186" s="6" t="s">
        <v>11</v>
      </c>
      <c r="J186" s="6" t="s">
        <v>141</v>
      </c>
      <c r="K186" s="54" t="s">
        <v>78</v>
      </c>
      <c r="L186" s="6">
        <v>105</v>
      </c>
      <c r="M186" s="55" t="s">
        <v>20</v>
      </c>
      <c r="N186" s="56" t="s">
        <v>63</v>
      </c>
      <c r="O186" s="56"/>
      <c r="P186" s="56"/>
      <c r="Q186" s="56"/>
    </row>
    <row r="187" spans="1:17" ht="18.649999999999999" customHeight="1">
      <c r="A187" s="18" t="s">
        <v>683</v>
      </c>
      <c r="B187" s="18"/>
      <c r="C187" s="18" t="s">
        <v>162</v>
      </c>
      <c r="D187" s="18"/>
      <c r="E187" s="18" t="s">
        <v>49</v>
      </c>
      <c r="F187" s="18" t="s">
        <v>50</v>
      </c>
      <c r="G187" s="18"/>
      <c r="H187" s="19" t="s">
        <v>108</v>
      </c>
      <c r="I187" s="18" t="s">
        <v>11</v>
      </c>
      <c r="J187" s="18" t="s">
        <v>40</v>
      </c>
      <c r="K187" s="30" t="s">
        <v>562</v>
      </c>
      <c r="L187" s="18">
        <v>105</v>
      </c>
      <c r="M187" s="28" t="s">
        <v>20</v>
      </c>
      <c r="N187" s="20" t="s">
        <v>63</v>
      </c>
      <c r="O187" s="66"/>
      <c r="P187" s="20"/>
      <c r="Q187" s="20"/>
    </row>
    <row r="188" spans="1:17" ht="18.649999999999999" customHeight="1">
      <c r="A188" s="6"/>
      <c r="B188" s="6"/>
      <c r="C188" s="6" t="s">
        <v>502</v>
      </c>
      <c r="D188" s="53"/>
      <c r="E188" s="6"/>
      <c r="F188" s="6"/>
      <c r="G188" s="6"/>
      <c r="H188" s="29" t="s">
        <v>108</v>
      </c>
      <c r="I188" s="4" t="s">
        <v>371</v>
      </c>
      <c r="J188" s="6" t="s">
        <v>368</v>
      </c>
      <c r="K188" s="54" t="s">
        <v>562</v>
      </c>
      <c r="L188" s="6">
        <v>105</v>
      </c>
      <c r="M188" s="55" t="s">
        <v>92</v>
      </c>
      <c r="N188" s="56" t="s">
        <v>369</v>
      </c>
      <c r="O188" s="57"/>
      <c r="P188" s="56"/>
      <c r="Q188" s="53"/>
    </row>
    <row r="189" spans="1:17" ht="18.649999999999999" customHeight="1">
      <c r="A189" s="6"/>
      <c r="B189" s="6"/>
      <c r="C189" s="6" t="s">
        <v>503</v>
      </c>
      <c r="D189" s="53"/>
      <c r="E189" s="6"/>
      <c r="F189" s="6"/>
      <c r="G189" s="6"/>
      <c r="H189" s="29" t="s">
        <v>108</v>
      </c>
      <c r="I189" s="4" t="s">
        <v>371</v>
      </c>
      <c r="J189" s="6" t="s">
        <v>368</v>
      </c>
      <c r="K189" s="54" t="s">
        <v>562</v>
      </c>
      <c r="L189" s="6">
        <v>105</v>
      </c>
      <c r="M189" s="55" t="s">
        <v>92</v>
      </c>
      <c r="N189" s="56" t="s">
        <v>369</v>
      </c>
      <c r="O189" s="57"/>
      <c r="P189" s="56"/>
      <c r="Q189" s="53"/>
    </row>
    <row r="190" spans="1:17" ht="18.649999999999999" customHeight="1">
      <c r="A190" s="6"/>
      <c r="B190" s="6"/>
      <c r="C190" s="6" t="s">
        <v>774</v>
      </c>
      <c r="D190" s="6"/>
      <c r="E190" s="6" t="s">
        <v>775</v>
      </c>
      <c r="F190" s="6"/>
      <c r="G190" s="62"/>
      <c r="H190" s="5" t="s">
        <v>108</v>
      </c>
      <c r="I190" s="6" t="s">
        <v>11</v>
      </c>
      <c r="J190" s="6" t="s">
        <v>141</v>
      </c>
      <c r="K190" s="54" t="s">
        <v>78</v>
      </c>
      <c r="L190" s="6">
        <v>105</v>
      </c>
      <c r="M190" s="55" t="s">
        <v>92</v>
      </c>
      <c r="N190" s="56" t="s">
        <v>375</v>
      </c>
      <c r="O190" s="56"/>
      <c r="P190" s="56"/>
      <c r="Q190" s="56"/>
    </row>
    <row r="191" spans="1:17" ht="18.649999999999999" customHeight="1">
      <c r="A191" s="18" t="s">
        <v>758</v>
      </c>
      <c r="B191" s="18"/>
      <c r="C191" s="18"/>
      <c r="D191" s="18"/>
      <c r="E191" s="18"/>
      <c r="F191" s="18"/>
      <c r="G191" s="18"/>
      <c r="H191" s="19" t="s">
        <v>108</v>
      </c>
      <c r="I191" s="18" t="s">
        <v>11</v>
      </c>
      <c r="J191" s="18" t="s">
        <v>40</v>
      </c>
      <c r="K191" s="30" t="s">
        <v>562</v>
      </c>
      <c r="L191" s="18">
        <v>105</v>
      </c>
      <c r="M191" s="28" t="s">
        <v>20</v>
      </c>
      <c r="N191" s="20" t="s">
        <v>64</v>
      </c>
      <c r="O191" s="66"/>
      <c r="P191" s="20"/>
      <c r="Q191" s="20"/>
    </row>
    <row r="192" spans="1:17" ht="18.649999999999999" customHeight="1">
      <c r="A192" s="18" t="s">
        <v>657</v>
      </c>
      <c r="B192" s="18"/>
      <c r="C192" s="78" t="s">
        <v>574</v>
      </c>
      <c r="D192" s="18"/>
      <c r="E192" s="18" t="s">
        <v>411</v>
      </c>
      <c r="F192" s="18"/>
      <c r="G192" s="18"/>
      <c r="H192" s="13" t="s">
        <v>108</v>
      </c>
      <c r="I192" s="12" t="s">
        <v>371</v>
      </c>
      <c r="J192" s="18" t="s">
        <v>43</v>
      </c>
      <c r="K192" s="30" t="s">
        <v>78</v>
      </c>
      <c r="L192" s="18">
        <v>106</v>
      </c>
      <c r="M192" s="28" t="s">
        <v>92</v>
      </c>
      <c r="N192" s="20" t="s">
        <v>61</v>
      </c>
      <c r="O192" s="20"/>
      <c r="P192" s="20"/>
      <c r="Q192" s="20"/>
    </row>
    <row r="193" spans="1:17" ht="18.649999999999999" customHeight="1">
      <c r="A193" s="6"/>
      <c r="B193" s="6"/>
      <c r="C193" s="6" t="s">
        <v>288</v>
      </c>
      <c r="D193" s="6"/>
      <c r="E193" s="6"/>
      <c r="F193" s="6"/>
      <c r="G193" s="6"/>
      <c r="H193" s="5" t="s">
        <v>108</v>
      </c>
      <c r="I193" s="6" t="s">
        <v>371</v>
      </c>
      <c r="J193" s="6" t="s">
        <v>363</v>
      </c>
      <c r="K193" s="54" t="s">
        <v>359</v>
      </c>
      <c r="L193" s="6">
        <v>106</v>
      </c>
      <c r="M193" s="55" t="s">
        <v>92</v>
      </c>
      <c r="N193" s="56" t="s">
        <v>364</v>
      </c>
      <c r="O193" s="56"/>
      <c r="P193" s="56"/>
      <c r="Q193" s="56"/>
    </row>
    <row r="194" spans="1:17" ht="18.649999999999999" customHeight="1">
      <c r="A194" s="6"/>
      <c r="B194" s="6"/>
      <c r="C194" s="6" t="s">
        <v>292</v>
      </c>
      <c r="D194" s="6"/>
      <c r="E194" s="6"/>
      <c r="F194" s="6"/>
      <c r="G194" s="6"/>
      <c r="H194" s="5" t="s">
        <v>108</v>
      </c>
      <c r="I194" s="6" t="s">
        <v>371</v>
      </c>
      <c r="J194" s="6" t="s">
        <v>365</v>
      </c>
      <c r="K194" s="54" t="s">
        <v>562</v>
      </c>
      <c r="L194" s="6">
        <v>106</v>
      </c>
      <c r="M194" s="55" t="s">
        <v>92</v>
      </c>
      <c r="N194" s="56" t="s">
        <v>364</v>
      </c>
      <c r="O194" s="56"/>
      <c r="P194" s="56"/>
      <c r="Q194" s="56"/>
    </row>
    <row r="195" spans="1:17" ht="18.649999999999999" customHeight="1">
      <c r="A195" s="6" t="s">
        <v>773</v>
      </c>
      <c r="B195" s="6"/>
      <c r="C195" s="6" t="s">
        <v>296</v>
      </c>
      <c r="D195" s="6"/>
      <c r="E195" s="6" t="s">
        <v>565</v>
      </c>
      <c r="F195" s="6"/>
      <c r="G195" s="6"/>
      <c r="H195" s="5" t="s">
        <v>108</v>
      </c>
      <c r="I195" s="6" t="s">
        <v>371</v>
      </c>
      <c r="J195" s="6" t="s">
        <v>141</v>
      </c>
      <c r="K195" s="54" t="s">
        <v>78</v>
      </c>
      <c r="L195" s="6">
        <v>106</v>
      </c>
      <c r="M195" s="55" t="s">
        <v>44</v>
      </c>
      <c r="N195" s="56" t="s">
        <v>364</v>
      </c>
      <c r="O195" s="56"/>
      <c r="P195" s="56"/>
      <c r="Q195" s="56"/>
    </row>
    <row r="196" spans="1:17" ht="18.649999999999999" customHeight="1">
      <c r="A196" s="6"/>
      <c r="B196" s="6"/>
      <c r="C196" s="6" t="s">
        <v>745</v>
      </c>
      <c r="D196" s="6"/>
      <c r="E196" s="6"/>
      <c r="F196" s="6"/>
      <c r="G196" s="6"/>
      <c r="H196" s="5" t="s">
        <v>108</v>
      </c>
      <c r="I196" s="6" t="s">
        <v>371</v>
      </c>
      <c r="J196" s="6" t="s">
        <v>141</v>
      </c>
      <c r="K196" s="54" t="s">
        <v>78</v>
      </c>
      <c r="L196" s="6">
        <v>106</v>
      </c>
      <c r="M196" s="55" t="s">
        <v>44</v>
      </c>
      <c r="N196" s="56" t="s">
        <v>364</v>
      </c>
      <c r="O196" s="56"/>
      <c r="P196" s="56"/>
      <c r="Q196" s="56"/>
    </row>
    <row r="197" spans="1:17" ht="18.649999999999999" customHeight="1">
      <c r="A197" s="6"/>
      <c r="B197" s="6"/>
      <c r="C197" s="6" t="s">
        <v>289</v>
      </c>
      <c r="D197" s="6"/>
      <c r="E197" s="6"/>
      <c r="F197" s="6"/>
      <c r="G197" s="6"/>
      <c r="H197" s="5" t="s">
        <v>108</v>
      </c>
      <c r="I197" s="6" t="s">
        <v>371</v>
      </c>
      <c r="J197" s="6" t="s">
        <v>363</v>
      </c>
      <c r="K197" s="54" t="s">
        <v>359</v>
      </c>
      <c r="L197" s="6">
        <v>106</v>
      </c>
      <c r="M197" s="55" t="s">
        <v>44</v>
      </c>
      <c r="N197" s="56" t="s">
        <v>364</v>
      </c>
      <c r="O197" s="56"/>
      <c r="P197" s="56"/>
      <c r="Q197" s="56"/>
    </row>
    <row r="198" spans="1:17" ht="18.649999999999999" customHeight="1">
      <c r="A198" s="6"/>
      <c r="B198" s="6"/>
      <c r="C198" s="6" t="s">
        <v>293</v>
      </c>
      <c r="D198" s="6"/>
      <c r="E198" s="6"/>
      <c r="F198" s="6"/>
      <c r="G198" s="6"/>
      <c r="H198" s="5" t="s">
        <v>108</v>
      </c>
      <c r="I198" s="6" t="s">
        <v>371</v>
      </c>
      <c r="J198" s="6" t="s">
        <v>365</v>
      </c>
      <c r="K198" s="54" t="s">
        <v>562</v>
      </c>
      <c r="L198" s="6">
        <v>106</v>
      </c>
      <c r="M198" s="55" t="s">
        <v>44</v>
      </c>
      <c r="N198" s="56" t="s">
        <v>364</v>
      </c>
      <c r="O198" s="56"/>
      <c r="P198" s="56"/>
      <c r="Q198" s="56"/>
    </row>
    <row r="199" spans="1:17" ht="18.649999999999999" customHeight="1">
      <c r="A199" s="6"/>
      <c r="B199" s="6"/>
      <c r="C199" s="6" t="s">
        <v>297</v>
      </c>
      <c r="D199" s="6"/>
      <c r="E199" s="6" t="s">
        <v>718</v>
      </c>
      <c r="F199" s="6"/>
      <c r="G199" s="6"/>
      <c r="H199" s="5" t="s">
        <v>108</v>
      </c>
      <c r="I199" s="6" t="s">
        <v>371</v>
      </c>
      <c r="J199" s="6" t="s">
        <v>141</v>
      </c>
      <c r="K199" s="54" t="s">
        <v>78</v>
      </c>
      <c r="L199" s="6">
        <v>106</v>
      </c>
      <c r="M199" s="55" t="s">
        <v>92</v>
      </c>
      <c r="N199" s="56" t="s">
        <v>367</v>
      </c>
      <c r="O199" s="56"/>
      <c r="P199" s="56"/>
      <c r="Q199" s="56"/>
    </row>
    <row r="200" spans="1:17" ht="18.649999999999999" customHeight="1">
      <c r="A200" s="6"/>
      <c r="B200" s="6"/>
      <c r="C200" s="6" t="s">
        <v>298</v>
      </c>
      <c r="D200" s="6"/>
      <c r="E200" s="6" t="s">
        <v>719</v>
      </c>
      <c r="F200" s="6"/>
      <c r="G200" s="6"/>
      <c r="H200" s="5" t="s">
        <v>108</v>
      </c>
      <c r="I200" s="6" t="s">
        <v>371</v>
      </c>
      <c r="J200" s="6" t="s">
        <v>141</v>
      </c>
      <c r="K200" s="54" t="s">
        <v>78</v>
      </c>
      <c r="L200" s="6">
        <v>106</v>
      </c>
      <c r="M200" s="55" t="s">
        <v>44</v>
      </c>
      <c r="N200" s="56" t="s">
        <v>367</v>
      </c>
      <c r="O200" s="56"/>
      <c r="P200" s="56"/>
      <c r="Q200" s="56"/>
    </row>
    <row r="201" spans="1:17" ht="18.649999999999999" customHeight="1">
      <c r="A201" s="6"/>
      <c r="B201" s="6"/>
      <c r="C201" s="6" t="s">
        <v>299</v>
      </c>
      <c r="D201" s="6"/>
      <c r="E201" s="6"/>
      <c r="F201" s="6"/>
      <c r="G201" s="6"/>
      <c r="H201" s="5" t="s">
        <v>108</v>
      </c>
      <c r="I201" s="6" t="s">
        <v>371</v>
      </c>
      <c r="J201" s="6" t="s">
        <v>141</v>
      </c>
      <c r="K201" s="54" t="s">
        <v>78</v>
      </c>
      <c r="L201" s="6">
        <v>106</v>
      </c>
      <c r="M201" s="55" t="s">
        <v>44</v>
      </c>
      <c r="N201" s="56" t="s">
        <v>367</v>
      </c>
      <c r="O201" s="56"/>
      <c r="P201" s="56"/>
      <c r="Q201" s="56"/>
    </row>
    <row r="202" spans="1:17" ht="18.649999999999999" customHeight="1">
      <c r="A202" s="6"/>
      <c r="B202" s="6"/>
      <c r="C202" s="6" t="s">
        <v>290</v>
      </c>
      <c r="D202" s="6"/>
      <c r="E202" s="6"/>
      <c r="F202" s="6"/>
      <c r="G202" s="6"/>
      <c r="H202" s="5" t="s">
        <v>108</v>
      </c>
      <c r="I202" s="6" t="s">
        <v>371</v>
      </c>
      <c r="J202" s="6" t="s">
        <v>363</v>
      </c>
      <c r="K202" s="54" t="s">
        <v>359</v>
      </c>
      <c r="L202" s="6">
        <v>106</v>
      </c>
      <c r="M202" s="55" t="s">
        <v>44</v>
      </c>
      <c r="N202" s="56" t="s">
        <v>367</v>
      </c>
      <c r="O202" s="56"/>
      <c r="P202" s="56"/>
      <c r="Q202" s="56"/>
    </row>
    <row r="203" spans="1:17" ht="18.649999999999999" customHeight="1">
      <c r="A203" s="6"/>
      <c r="B203" s="6"/>
      <c r="C203" s="6" t="s">
        <v>300</v>
      </c>
      <c r="D203" s="6"/>
      <c r="E203" s="6"/>
      <c r="F203" s="6"/>
      <c r="G203" s="6"/>
      <c r="H203" s="5" t="s">
        <v>108</v>
      </c>
      <c r="I203" s="6" t="s">
        <v>371</v>
      </c>
      <c r="J203" s="6" t="s">
        <v>141</v>
      </c>
      <c r="K203" s="54" t="s">
        <v>78</v>
      </c>
      <c r="L203" s="6">
        <v>106</v>
      </c>
      <c r="M203" s="55" t="s">
        <v>92</v>
      </c>
      <c r="N203" s="56" t="s">
        <v>366</v>
      </c>
      <c r="O203" s="56"/>
      <c r="P203" s="56"/>
      <c r="Q203" s="56"/>
    </row>
    <row r="204" spans="1:17" ht="18.649999999999999" customHeight="1">
      <c r="A204" s="6"/>
      <c r="B204" s="6"/>
      <c r="C204" s="6" t="s">
        <v>278</v>
      </c>
      <c r="D204" s="6"/>
      <c r="E204" s="6"/>
      <c r="F204" s="6"/>
      <c r="G204" s="6"/>
      <c r="H204" s="5" t="s">
        <v>108</v>
      </c>
      <c r="I204" s="6" t="s">
        <v>371</v>
      </c>
      <c r="J204" s="6" t="s">
        <v>363</v>
      </c>
      <c r="K204" s="54" t="s">
        <v>359</v>
      </c>
      <c r="L204" s="6">
        <v>106</v>
      </c>
      <c r="M204" s="55" t="s">
        <v>92</v>
      </c>
      <c r="N204" s="56" t="s">
        <v>366</v>
      </c>
      <c r="O204" s="56"/>
      <c r="P204" s="56"/>
      <c r="Q204" s="56"/>
    </row>
    <row r="205" spans="1:17" ht="18.649999999999999" customHeight="1">
      <c r="A205" s="6"/>
      <c r="B205" s="6"/>
      <c r="C205" s="6" t="s">
        <v>279</v>
      </c>
      <c r="D205" s="6"/>
      <c r="E205" s="6"/>
      <c r="F205" s="6"/>
      <c r="G205" s="6"/>
      <c r="H205" s="5" t="s">
        <v>108</v>
      </c>
      <c r="I205" s="6" t="s">
        <v>371</v>
      </c>
      <c r="J205" s="6" t="s">
        <v>363</v>
      </c>
      <c r="K205" s="54" t="s">
        <v>359</v>
      </c>
      <c r="L205" s="6">
        <v>106</v>
      </c>
      <c r="M205" s="55" t="s">
        <v>44</v>
      </c>
      <c r="N205" s="56" t="s">
        <v>366</v>
      </c>
      <c r="O205" s="56"/>
      <c r="P205" s="56"/>
      <c r="Q205" s="56"/>
    </row>
    <row r="206" spans="1:17" ht="18.649999999999999" customHeight="1">
      <c r="A206" s="6" t="s">
        <v>684</v>
      </c>
      <c r="B206" s="6"/>
      <c r="C206" s="6" t="s">
        <v>681</v>
      </c>
      <c r="D206" s="6"/>
      <c r="E206" s="6" t="s">
        <v>685</v>
      </c>
      <c r="F206" s="6"/>
      <c r="G206" s="6"/>
      <c r="H206" s="5" t="s">
        <v>108</v>
      </c>
      <c r="I206" s="6" t="s">
        <v>371</v>
      </c>
      <c r="J206" s="6" t="s">
        <v>141</v>
      </c>
      <c r="K206" s="54" t="s">
        <v>78</v>
      </c>
      <c r="L206" s="6">
        <v>106</v>
      </c>
      <c r="M206" s="55" t="s">
        <v>44</v>
      </c>
      <c r="N206" s="56" t="s">
        <v>654</v>
      </c>
      <c r="O206" s="56"/>
      <c r="P206" s="56"/>
      <c r="Q206" s="56"/>
    </row>
    <row r="207" spans="1:17" ht="18.649999999999999" customHeight="1">
      <c r="A207" s="6"/>
      <c r="B207" s="6"/>
      <c r="C207" s="6" t="s">
        <v>301</v>
      </c>
      <c r="D207" s="6"/>
      <c r="E207" s="6"/>
      <c r="F207" s="6"/>
      <c r="G207" s="6"/>
      <c r="H207" s="5" t="s">
        <v>108</v>
      </c>
      <c r="I207" s="6" t="s">
        <v>371</v>
      </c>
      <c r="J207" s="6" t="s">
        <v>141</v>
      </c>
      <c r="K207" s="54" t="s">
        <v>78</v>
      </c>
      <c r="L207" s="6">
        <v>106</v>
      </c>
      <c r="M207" s="55" t="s">
        <v>44</v>
      </c>
      <c r="N207" s="56" t="s">
        <v>370</v>
      </c>
      <c r="O207" s="56"/>
      <c r="P207" s="56"/>
      <c r="Q207" s="56"/>
    </row>
    <row r="208" spans="1:17" ht="18.649999999999999" customHeight="1">
      <c r="A208" s="6"/>
      <c r="B208" s="6"/>
      <c r="C208" s="6" t="s">
        <v>280</v>
      </c>
      <c r="D208" s="6"/>
      <c r="E208" s="6"/>
      <c r="F208" s="6"/>
      <c r="G208" s="6"/>
      <c r="H208" s="5" t="s">
        <v>108</v>
      </c>
      <c r="I208" s="6" t="s">
        <v>371</v>
      </c>
      <c r="J208" s="6" t="s">
        <v>363</v>
      </c>
      <c r="K208" s="54" t="s">
        <v>359</v>
      </c>
      <c r="L208" s="6">
        <v>106</v>
      </c>
      <c r="M208" s="55" t="s">
        <v>92</v>
      </c>
      <c r="N208" s="56" t="s">
        <v>360</v>
      </c>
      <c r="O208" s="56"/>
      <c r="P208" s="56"/>
      <c r="Q208" s="56"/>
    </row>
    <row r="209" spans="1:17" ht="18.649999999999999" customHeight="1">
      <c r="A209" s="6"/>
      <c r="B209" s="6"/>
      <c r="C209" s="6" t="s">
        <v>276</v>
      </c>
      <c r="D209" s="6"/>
      <c r="E209" s="6"/>
      <c r="F209" s="6"/>
      <c r="G209" s="6"/>
      <c r="H209" s="5" t="s">
        <v>108</v>
      </c>
      <c r="I209" s="6" t="s">
        <v>147</v>
      </c>
      <c r="J209" s="6" t="s">
        <v>141</v>
      </c>
      <c r="K209" s="54" t="s">
        <v>78</v>
      </c>
      <c r="L209" s="6">
        <v>106</v>
      </c>
      <c r="M209" s="55" t="s">
        <v>44</v>
      </c>
      <c r="N209" s="56" t="s">
        <v>360</v>
      </c>
      <c r="O209" s="56"/>
      <c r="P209" s="56"/>
      <c r="Q209" s="56"/>
    </row>
    <row r="210" spans="1:17" ht="18.649999999999999" customHeight="1">
      <c r="A210" s="6"/>
      <c r="B210" s="6"/>
      <c r="C210" s="6" t="s">
        <v>294</v>
      </c>
      <c r="D210" s="6"/>
      <c r="E210" s="6"/>
      <c r="F210" s="6"/>
      <c r="G210" s="6"/>
      <c r="H210" s="5" t="s">
        <v>108</v>
      </c>
      <c r="I210" s="6" t="s">
        <v>371</v>
      </c>
      <c r="J210" s="6" t="s">
        <v>141</v>
      </c>
      <c r="K210" s="54" t="s">
        <v>78</v>
      </c>
      <c r="L210" s="6">
        <v>106</v>
      </c>
      <c r="M210" s="55" t="s">
        <v>44</v>
      </c>
      <c r="N210" s="56" t="s">
        <v>360</v>
      </c>
      <c r="O210" s="56"/>
      <c r="P210" s="56"/>
      <c r="Q210" s="56"/>
    </row>
    <row r="211" spans="1:17" ht="18.649999999999999" customHeight="1">
      <c r="A211" s="6"/>
      <c r="B211" s="6"/>
      <c r="C211" s="6" t="s">
        <v>281</v>
      </c>
      <c r="D211" s="6"/>
      <c r="E211" s="6"/>
      <c r="F211" s="6"/>
      <c r="G211" s="6" t="s">
        <v>754</v>
      </c>
      <c r="H211" s="5" t="s">
        <v>108</v>
      </c>
      <c r="I211" s="6" t="s">
        <v>371</v>
      </c>
      <c r="J211" s="6" t="s">
        <v>363</v>
      </c>
      <c r="K211" s="54" t="s">
        <v>359</v>
      </c>
      <c r="L211" s="6">
        <v>106</v>
      </c>
      <c r="M211" s="55" t="s">
        <v>44</v>
      </c>
      <c r="N211" s="56" t="s">
        <v>360</v>
      </c>
      <c r="O211" s="56"/>
      <c r="P211" s="56"/>
      <c r="Q211" s="56"/>
    </row>
    <row r="212" spans="1:17" ht="18.649999999999999" customHeight="1">
      <c r="A212" s="6"/>
      <c r="B212" s="6"/>
      <c r="C212" s="6" t="s">
        <v>282</v>
      </c>
      <c r="D212" s="6"/>
      <c r="E212" s="6"/>
      <c r="F212" s="6"/>
      <c r="G212" s="6"/>
      <c r="H212" s="5" t="s">
        <v>108</v>
      </c>
      <c r="I212" s="6" t="s">
        <v>371</v>
      </c>
      <c r="J212" s="6" t="s">
        <v>363</v>
      </c>
      <c r="K212" s="54" t="s">
        <v>359</v>
      </c>
      <c r="L212" s="6">
        <v>106</v>
      </c>
      <c r="M212" s="55" t="s">
        <v>44</v>
      </c>
      <c r="N212" s="56" t="s">
        <v>360</v>
      </c>
      <c r="O212" s="56"/>
      <c r="P212" s="56"/>
      <c r="Q212" s="56"/>
    </row>
    <row r="213" spans="1:17" ht="18.649999999999999" customHeight="1">
      <c r="A213" s="6"/>
      <c r="B213" s="6"/>
      <c r="C213" s="6" t="s">
        <v>283</v>
      </c>
      <c r="D213" s="6"/>
      <c r="E213" s="6"/>
      <c r="F213" s="6"/>
      <c r="G213" s="6"/>
      <c r="H213" s="5" t="s">
        <v>108</v>
      </c>
      <c r="I213" s="6" t="s">
        <v>371</v>
      </c>
      <c r="J213" s="6" t="s">
        <v>363</v>
      </c>
      <c r="K213" s="54" t="s">
        <v>359</v>
      </c>
      <c r="L213" s="6">
        <v>106</v>
      </c>
      <c r="M213" s="55" t="s">
        <v>44</v>
      </c>
      <c r="N213" s="56" t="s">
        <v>360</v>
      </c>
      <c r="O213" s="56"/>
      <c r="P213" s="56"/>
      <c r="Q213" s="56"/>
    </row>
    <row r="214" spans="1:17" ht="18.649999999999999" customHeight="1">
      <c r="A214" s="6"/>
      <c r="B214" s="6"/>
      <c r="C214" s="6" t="s">
        <v>692</v>
      </c>
      <c r="D214" s="6"/>
      <c r="E214" s="6"/>
      <c r="F214" s="6"/>
      <c r="G214" s="6"/>
      <c r="H214" s="5" t="s">
        <v>108</v>
      </c>
      <c r="I214" s="6" t="s">
        <v>371</v>
      </c>
      <c r="J214" s="6" t="s">
        <v>141</v>
      </c>
      <c r="K214" s="54" t="s">
        <v>78</v>
      </c>
      <c r="L214" s="6">
        <v>106</v>
      </c>
      <c r="M214" s="55" t="s">
        <v>92</v>
      </c>
      <c r="N214" s="56" t="s">
        <v>361</v>
      </c>
      <c r="O214" s="56"/>
      <c r="P214" s="56"/>
      <c r="Q214" s="56"/>
    </row>
    <row r="215" spans="1:17" ht="18.649999999999999" customHeight="1">
      <c r="A215" s="6"/>
      <c r="B215" s="6"/>
      <c r="C215" s="6" t="s">
        <v>295</v>
      </c>
      <c r="D215" s="6"/>
      <c r="E215" s="6"/>
      <c r="F215" s="6"/>
      <c r="G215" s="6"/>
      <c r="H215" s="5" t="s">
        <v>108</v>
      </c>
      <c r="I215" s="6" t="s">
        <v>371</v>
      </c>
      <c r="J215" s="6" t="s">
        <v>141</v>
      </c>
      <c r="K215" s="54" t="s">
        <v>78</v>
      </c>
      <c r="L215" s="6">
        <v>106</v>
      </c>
      <c r="M215" s="55" t="s">
        <v>92</v>
      </c>
      <c r="N215" s="56" t="s">
        <v>361</v>
      </c>
      <c r="O215" s="56"/>
      <c r="P215" s="56"/>
      <c r="Q215" s="56"/>
    </row>
    <row r="216" spans="1:17" ht="18.649999999999999" customHeight="1">
      <c r="A216" s="6"/>
      <c r="B216" s="6"/>
      <c r="C216" s="6" t="s">
        <v>284</v>
      </c>
      <c r="D216" s="6"/>
      <c r="E216" s="6"/>
      <c r="F216" s="6"/>
      <c r="G216" s="6"/>
      <c r="H216" s="5" t="s">
        <v>108</v>
      </c>
      <c r="I216" s="6" t="s">
        <v>371</v>
      </c>
      <c r="J216" s="6" t="s">
        <v>363</v>
      </c>
      <c r="K216" s="54" t="s">
        <v>359</v>
      </c>
      <c r="L216" s="6">
        <v>106</v>
      </c>
      <c r="M216" s="55" t="s">
        <v>92</v>
      </c>
      <c r="N216" s="56" t="s">
        <v>361</v>
      </c>
      <c r="O216" s="56"/>
      <c r="P216" s="56"/>
      <c r="Q216" s="56"/>
    </row>
    <row r="217" spans="1:17" ht="18.649999999999999" customHeight="1">
      <c r="A217" s="6"/>
      <c r="B217" s="6"/>
      <c r="C217" s="6" t="s">
        <v>285</v>
      </c>
      <c r="D217" s="6"/>
      <c r="E217" s="6"/>
      <c r="F217" s="6"/>
      <c r="G217" s="6"/>
      <c r="H217" s="5" t="s">
        <v>108</v>
      </c>
      <c r="I217" s="6" t="s">
        <v>371</v>
      </c>
      <c r="J217" s="6" t="s">
        <v>363</v>
      </c>
      <c r="K217" s="54" t="s">
        <v>359</v>
      </c>
      <c r="L217" s="6">
        <v>106</v>
      </c>
      <c r="M217" s="55" t="s">
        <v>92</v>
      </c>
      <c r="N217" s="56" t="s">
        <v>361</v>
      </c>
      <c r="O217" s="56"/>
      <c r="P217" s="56"/>
      <c r="Q217" s="56"/>
    </row>
    <row r="218" spans="1:17" ht="19.25" customHeight="1">
      <c r="A218" s="6" t="s">
        <v>676</v>
      </c>
      <c r="B218" s="6"/>
      <c r="C218" s="6" t="s">
        <v>277</v>
      </c>
      <c r="D218" s="6"/>
      <c r="E218" s="6" t="s">
        <v>720</v>
      </c>
      <c r="F218" s="6"/>
      <c r="G218" s="62" t="s">
        <v>621</v>
      </c>
      <c r="H218" s="5" t="s">
        <v>108</v>
      </c>
      <c r="I218" s="6" t="s">
        <v>147</v>
      </c>
      <c r="J218" s="6" t="s">
        <v>141</v>
      </c>
      <c r="K218" s="54" t="s">
        <v>78</v>
      </c>
      <c r="L218" s="6">
        <v>106</v>
      </c>
      <c r="M218" s="55" t="s">
        <v>44</v>
      </c>
      <c r="N218" s="56" t="s">
        <v>361</v>
      </c>
      <c r="O218" s="56"/>
      <c r="P218" s="56"/>
      <c r="Q218" s="56"/>
    </row>
    <row r="219" spans="1:17" ht="19.25" customHeight="1">
      <c r="A219" s="6"/>
      <c r="B219" s="6"/>
      <c r="C219" s="6" t="s">
        <v>286</v>
      </c>
      <c r="D219" s="6"/>
      <c r="E219" s="6"/>
      <c r="F219" s="6"/>
      <c r="G219" s="6"/>
      <c r="H219" s="5" t="s">
        <v>108</v>
      </c>
      <c r="I219" s="6" t="s">
        <v>371</v>
      </c>
      <c r="J219" s="6" t="s">
        <v>363</v>
      </c>
      <c r="K219" s="54" t="s">
        <v>359</v>
      </c>
      <c r="L219" s="6">
        <v>106</v>
      </c>
      <c r="M219" s="55" t="s">
        <v>44</v>
      </c>
      <c r="N219" s="56" t="s">
        <v>361</v>
      </c>
      <c r="O219" s="56"/>
      <c r="P219" s="56"/>
      <c r="Q219" s="56"/>
    </row>
    <row r="220" spans="1:17" ht="19.25" customHeight="1">
      <c r="A220" s="6"/>
      <c r="B220" s="6"/>
      <c r="C220" s="6" t="s">
        <v>287</v>
      </c>
      <c r="D220" s="6"/>
      <c r="E220" s="6"/>
      <c r="F220" s="6"/>
      <c r="G220" s="6"/>
      <c r="H220" s="5" t="s">
        <v>108</v>
      </c>
      <c r="I220" s="6" t="s">
        <v>371</v>
      </c>
      <c r="J220" s="6" t="s">
        <v>363</v>
      </c>
      <c r="K220" s="54" t="s">
        <v>359</v>
      </c>
      <c r="L220" s="6">
        <v>106</v>
      </c>
      <c r="M220" s="55" t="s">
        <v>44</v>
      </c>
      <c r="N220" s="56" t="s">
        <v>361</v>
      </c>
      <c r="O220" s="56"/>
      <c r="P220" s="56"/>
      <c r="Q220" s="56"/>
    </row>
    <row r="221" spans="1:17" ht="19.25" customHeight="1">
      <c r="A221" s="6"/>
      <c r="B221" s="6"/>
      <c r="C221" s="6" t="s">
        <v>291</v>
      </c>
      <c r="D221" s="6"/>
      <c r="E221" s="6"/>
      <c r="F221" s="6"/>
      <c r="G221" s="6"/>
      <c r="H221" s="5" t="s">
        <v>108</v>
      </c>
      <c r="I221" s="6" t="s">
        <v>371</v>
      </c>
      <c r="J221" s="6" t="s">
        <v>365</v>
      </c>
      <c r="K221" s="54" t="s">
        <v>562</v>
      </c>
      <c r="L221" s="6">
        <v>106</v>
      </c>
      <c r="M221" s="55" t="s">
        <v>44</v>
      </c>
      <c r="N221" s="56" t="s">
        <v>361</v>
      </c>
      <c r="O221" s="56"/>
      <c r="P221" s="56"/>
      <c r="Q221" s="56"/>
    </row>
    <row r="222" spans="1:17" ht="19.25" customHeight="1">
      <c r="A222" s="6"/>
      <c r="B222" s="6"/>
      <c r="C222" s="6" t="s">
        <v>443</v>
      </c>
      <c r="D222" s="53"/>
      <c r="E222" s="6" t="s">
        <v>444</v>
      </c>
      <c r="F222" s="6"/>
      <c r="G222" s="6"/>
      <c r="H222" s="29" t="s">
        <v>108</v>
      </c>
      <c r="I222" s="4" t="s">
        <v>11</v>
      </c>
      <c r="J222" s="6" t="s">
        <v>41</v>
      </c>
      <c r="K222" s="54" t="s">
        <v>562</v>
      </c>
      <c r="L222" s="6">
        <v>120</v>
      </c>
      <c r="M222" s="55" t="s">
        <v>42</v>
      </c>
      <c r="N222" s="56" t="s">
        <v>64</v>
      </c>
      <c r="O222" s="56"/>
      <c r="P222" s="56"/>
      <c r="Q222" s="53"/>
    </row>
    <row r="223" spans="1:17" ht="19.25" customHeight="1">
      <c r="A223" s="6"/>
      <c r="B223" s="6"/>
      <c r="C223" s="6" t="s">
        <v>472</v>
      </c>
      <c r="D223" s="53"/>
      <c r="E223" s="6" t="s">
        <v>473</v>
      </c>
      <c r="F223" s="6"/>
      <c r="G223" s="6"/>
      <c r="H223" s="29" t="s">
        <v>108</v>
      </c>
      <c r="I223" s="4" t="s">
        <v>11</v>
      </c>
      <c r="J223" s="6" t="s">
        <v>40</v>
      </c>
      <c r="K223" s="54" t="s">
        <v>562</v>
      </c>
      <c r="L223" s="6">
        <v>122</v>
      </c>
      <c r="M223" s="55" t="s">
        <v>563</v>
      </c>
      <c r="N223" s="56" t="s">
        <v>64</v>
      </c>
      <c r="O223" s="56"/>
      <c r="P223" s="56"/>
      <c r="Q223" s="53"/>
    </row>
    <row r="224" spans="1:17" ht="19.25" customHeight="1">
      <c r="A224" s="6"/>
      <c r="B224" s="6"/>
      <c r="C224" s="6" t="s">
        <v>445</v>
      </c>
      <c r="D224" s="53"/>
      <c r="E224" s="6" t="s">
        <v>31</v>
      </c>
      <c r="F224" s="6"/>
      <c r="G224" s="6"/>
      <c r="H224" s="29" t="s">
        <v>108</v>
      </c>
      <c r="I224" s="4" t="s">
        <v>11</v>
      </c>
      <c r="J224" s="6" t="s">
        <v>41</v>
      </c>
      <c r="K224" s="54" t="s">
        <v>562</v>
      </c>
      <c r="L224" s="6">
        <v>150</v>
      </c>
      <c r="M224" s="55" t="s">
        <v>42</v>
      </c>
      <c r="N224" s="56" t="s">
        <v>64</v>
      </c>
      <c r="O224" s="56"/>
      <c r="P224" s="56"/>
      <c r="Q224" s="53"/>
    </row>
    <row r="225" spans="1:17" ht="19.25" customHeight="1">
      <c r="A225" s="6"/>
      <c r="B225" s="6"/>
      <c r="C225" s="6" t="s">
        <v>446</v>
      </c>
      <c r="D225" s="53"/>
      <c r="E225" s="6" t="s">
        <v>447</v>
      </c>
      <c r="F225" s="6"/>
      <c r="G225" s="6"/>
      <c r="H225" s="29" t="s">
        <v>108</v>
      </c>
      <c r="I225" s="4" t="s">
        <v>11</v>
      </c>
      <c r="J225" s="6" t="s">
        <v>41</v>
      </c>
      <c r="K225" s="54" t="s">
        <v>562</v>
      </c>
      <c r="L225" s="6">
        <v>180</v>
      </c>
      <c r="M225" s="55" t="s">
        <v>42</v>
      </c>
      <c r="N225" s="56" t="s">
        <v>64</v>
      </c>
      <c r="O225" s="56"/>
      <c r="P225" s="56"/>
      <c r="Q225" s="53"/>
    </row>
    <row r="226" spans="1:17" ht="19.25" customHeight="1">
      <c r="A226" s="6"/>
      <c r="B226" s="6"/>
      <c r="C226" s="6" t="s">
        <v>448</v>
      </c>
      <c r="D226" s="53"/>
      <c r="E226" s="6" t="s">
        <v>449</v>
      </c>
      <c r="F226" s="6"/>
      <c r="G226" s="6"/>
      <c r="H226" s="29" t="s">
        <v>108</v>
      </c>
      <c r="I226" s="4" t="s">
        <v>11</v>
      </c>
      <c r="J226" s="6" t="s">
        <v>41</v>
      </c>
      <c r="K226" s="54" t="s">
        <v>562</v>
      </c>
      <c r="L226" s="6">
        <v>200</v>
      </c>
      <c r="M226" s="55" t="s">
        <v>42</v>
      </c>
      <c r="N226" s="56" t="s">
        <v>64</v>
      </c>
      <c r="O226" s="56"/>
      <c r="P226" s="56"/>
      <c r="Q226" s="53"/>
    </row>
    <row r="227" spans="1:17" ht="19.25" customHeight="1">
      <c r="A227" s="6"/>
      <c r="B227" s="6"/>
      <c r="C227" s="6" t="s">
        <v>450</v>
      </c>
      <c r="D227" s="53"/>
      <c r="E227" s="6" t="s">
        <v>451</v>
      </c>
      <c r="F227" s="6"/>
      <c r="G227" s="6" t="s">
        <v>875</v>
      </c>
      <c r="H227" s="29" t="s">
        <v>108</v>
      </c>
      <c r="I227" s="4" t="s">
        <v>11</v>
      </c>
      <c r="J227" s="6" t="s">
        <v>41</v>
      </c>
      <c r="K227" s="54" t="s">
        <v>562</v>
      </c>
      <c r="L227" s="6">
        <v>220</v>
      </c>
      <c r="M227" s="55" t="s">
        <v>42</v>
      </c>
      <c r="N227" s="56" t="s">
        <v>64</v>
      </c>
      <c r="O227" s="56"/>
      <c r="P227" s="56"/>
      <c r="Q227" s="53"/>
    </row>
    <row r="228" spans="1:17" ht="19.25" customHeight="1">
      <c r="A228" s="18"/>
      <c r="B228" s="18"/>
      <c r="C228" s="18" t="s">
        <v>174</v>
      </c>
      <c r="D228" s="18"/>
      <c r="E228" s="18" t="s">
        <v>33</v>
      </c>
      <c r="F228" s="18"/>
      <c r="G228" s="18"/>
      <c r="H228" s="19" t="s">
        <v>108</v>
      </c>
      <c r="I228" s="18" t="s">
        <v>30</v>
      </c>
      <c r="J228" s="18" t="s">
        <v>81</v>
      </c>
      <c r="K228" s="30" t="s">
        <v>562</v>
      </c>
      <c r="L228" s="18">
        <v>221</v>
      </c>
      <c r="M228" s="28" t="s">
        <v>42</v>
      </c>
      <c r="N228" s="20" t="s">
        <v>64</v>
      </c>
      <c r="O228" s="20"/>
      <c r="P228" s="20"/>
      <c r="Q228" s="20"/>
    </row>
    <row r="229" spans="1:17" ht="19.25" customHeight="1">
      <c r="A229" s="18"/>
      <c r="B229" s="18"/>
      <c r="C229" s="18" t="s">
        <v>181</v>
      </c>
      <c r="D229" s="18"/>
      <c r="E229" s="18" t="s">
        <v>180</v>
      </c>
      <c r="F229" s="18"/>
      <c r="G229" s="18"/>
      <c r="H229" s="19" t="s">
        <v>108</v>
      </c>
      <c r="I229" s="18" t="s">
        <v>150</v>
      </c>
      <c r="J229" s="18" t="s">
        <v>161</v>
      </c>
      <c r="K229" s="30" t="s">
        <v>562</v>
      </c>
      <c r="L229" s="18">
        <v>223</v>
      </c>
      <c r="M229" s="28" t="s">
        <v>92</v>
      </c>
      <c r="N229" s="20" t="s">
        <v>160</v>
      </c>
      <c r="O229" s="20"/>
      <c r="P229" s="20"/>
      <c r="Q229" s="20"/>
    </row>
    <row r="230" spans="1:17" ht="19.25" customHeight="1">
      <c r="A230" s="6"/>
      <c r="B230" s="6"/>
      <c r="C230" s="6" t="s">
        <v>466</v>
      </c>
      <c r="D230" s="53"/>
      <c r="E230" s="6" t="s">
        <v>467</v>
      </c>
      <c r="F230" s="6"/>
      <c r="G230" s="6"/>
      <c r="H230" s="29" t="s">
        <v>108</v>
      </c>
      <c r="I230" s="4" t="s">
        <v>11</v>
      </c>
      <c r="J230" s="6" t="s">
        <v>40</v>
      </c>
      <c r="K230" s="54" t="s">
        <v>562</v>
      </c>
      <c r="L230" s="6">
        <v>224</v>
      </c>
      <c r="M230" s="55" t="s">
        <v>563</v>
      </c>
      <c r="N230" s="56" t="s">
        <v>62</v>
      </c>
      <c r="O230" s="56"/>
      <c r="P230" s="56"/>
      <c r="Q230" s="53"/>
    </row>
    <row r="231" spans="1:17" ht="19.25" customHeight="1">
      <c r="A231" s="6"/>
      <c r="B231" s="6"/>
      <c r="C231" s="6" t="s">
        <v>468</v>
      </c>
      <c r="D231" s="53"/>
      <c r="E231" s="6" t="s">
        <v>469</v>
      </c>
      <c r="F231" s="6"/>
      <c r="G231" s="6"/>
      <c r="H231" s="29" t="s">
        <v>108</v>
      </c>
      <c r="I231" s="4" t="s">
        <v>11</v>
      </c>
      <c r="J231" s="6" t="s">
        <v>40</v>
      </c>
      <c r="K231" s="54" t="s">
        <v>562</v>
      </c>
      <c r="L231" s="6">
        <v>224</v>
      </c>
      <c r="M231" s="55" t="s">
        <v>563</v>
      </c>
      <c r="N231" s="56" t="s">
        <v>63</v>
      </c>
      <c r="O231" s="56"/>
      <c r="P231" s="56"/>
      <c r="Q231" s="53"/>
    </row>
    <row r="232" spans="1:17" ht="19.25" customHeight="1">
      <c r="A232" s="6"/>
      <c r="B232" s="6"/>
      <c r="C232" s="6" t="s">
        <v>491</v>
      </c>
      <c r="D232" s="6"/>
      <c r="E232" s="6"/>
      <c r="F232" s="6"/>
      <c r="G232" s="6"/>
      <c r="H232" s="5" t="s">
        <v>108</v>
      </c>
      <c r="I232" s="6" t="s">
        <v>371</v>
      </c>
      <c r="J232" s="6" t="s">
        <v>403</v>
      </c>
      <c r="K232" s="54" t="s">
        <v>562</v>
      </c>
      <c r="L232" s="6">
        <v>224</v>
      </c>
      <c r="M232" s="55" t="s">
        <v>92</v>
      </c>
      <c r="N232" s="56" t="s">
        <v>375</v>
      </c>
      <c r="O232" s="63"/>
      <c r="P232" s="56"/>
      <c r="Q232" s="56"/>
    </row>
    <row r="233" spans="1:17" ht="19.25" customHeight="1">
      <c r="A233" s="6"/>
      <c r="B233" s="6"/>
      <c r="C233" s="6" t="s">
        <v>474</v>
      </c>
      <c r="D233" s="53"/>
      <c r="E233" s="6" t="s">
        <v>475</v>
      </c>
      <c r="F233" s="6"/>
      <c r="G233" s="6"/>
      <c r="H233" s="29" t="s">
        <v>108</v>
      </c>
      <c r="I233" s="4" t="s">
        <v>11</v>
      </c>
      <c r="J233" s="6" t="s">
        <v>40</v>
      </c>
      <c r="K233" s="54" t="s">
        <v>562</v>
      </c>
      <c r="L233" s="6">
        <v>224</v>
      </c>
      <c r="M233" s="55" t="s">
        <v>563</v>
      </c>
      <c r="N233" s="56" t="s">
        <v>64</v>
      </c>
      <c r="O233" s="56"/>
      <c r="P233" s="56"/>
      <c r="Q233" s="53"/>
    </row>
    <row r="234" spans="1:17" ht="19.25" customHeight="1">
      <c r="A234" s="18" t="s">
        <v>679</v>
      </c>
      <c r="B234" s="18"/>
      <c r="C234" s="18"/>
      <c r="D234" s="18"/>
      <c r="E234" s="18" t="s">
        <v>677</v>
      </c>
      <c r="F234" s="18"/>
      <c r="G234" s="18"/>
      <c r="H234" s="19" t="s">
        <v>108</v>
      </c>
      <c r="I234" s="18" t="s">
        <v>371</v>
      </c>
      <c r="J234" s="18" t="s">
        <v>141</v>
      </c>
      <c r="K234" s="30" t="s">
        <v>78</v>
      </c>
      <c r="L234" s="18">
        <v>225</v>
      </c>
      <c r="M234" s="28" t="s">
        <v>92</v>
      </c>
      <c r="N234" s="20" t="s">
        <v>678</v>
      </c>
      <c r="O234" s="20"/>
      <c r="P234" s="20"/>
      <c r="Q234" s="20"/>
    </row>
    <row r="235" spans="1:17" ht="19.25" customHeight="1">
      <c r="A235" s="6"/>
      <c r="B235" s="6"/>
      <c r="C235" s="6" t="s">
        <v>319</v>
      </c>
      <c r="D235" s="6"/>
      <c r="E235" s="6"/>
      <c r="F235" s="6"/>
      <c r="G235" s="6"/>
      <c r="H235" s="5" t="s">
        <v>108</v>
      </c>
      <c r="I235" s="6" t="s">
        <v>371</v>
      </c>
      <c r="J235" s="6" t="s">
        <v>141</v>
      </c>
      <c r="K235" s="54" t="s">
        <v>78</v>
      </c>
      <c r="L235" s="6">
        <v>225</v>
      </c>
      <c r="M235" s="55" t="s">
        <v>92</v>
      </c>
      <c r="N235" s="56" t="s">
        <v>364</v>
      </c>
      <c r="O235" s="56"/>
      <c r="P235" s="56"/>
      <c r="Q235" s="56"/>
    </row>
    <row r="236" spans="1:17" ht="19.25" customHeight="1">
      <c r="A236" s="6"/>
      <c r="B236" s="6"/>
      <c r="C236" s="6" t="s">
        <v>318</v>
      </c>
      <c r="D236" s="6"/>
      <c r="E236" s="6"/>
      <c r="F236" s="6"/>
      <c r="G236" s="6"/>
      <c r="H236" s="5" t="s">
        <v>108</v>
      </c>
      <c r="I236" s="6" t="s">
        <v>371</v>
      </c>
      <c r="J236" s="6" t="s">
        <v>141</v>
      </c>
      <c r="K236" s="54" t="s">
        <v>78</v>
      </c>
      <c r="L236" s="6">
        <v>225</v>
      </c>
      <c r="M236" s="55" t="s">
        <v>92</v>
      </c>
      <c r="N236" s="56" t="s">
        <v>364</v>
      </c>
      <c r="O236" s="56"/>
      <c r="P236" s="56"/>
      <c r="Q236" s="56"/>
    </row>
    <row r="237" spans="1:17" ht="19.25" customHeight="1">
      <c r="A237" s="6"/>
      <c r="B237" s="6"/>
      <c r="C237" s="6" t="s">
        <v>316</v>
      </c>
      <c r="D237" s="6"/>
      <c r="E237" s="6"/>
      <c r="F237" s="6"/>
      <c r="G237" s="6"/>
      <c r="H237" s="5" t="s">
        <v>108</v>
      </c>
      <c r="I237" s="6" t="s">
        <v>371</v>
      </c>
      <c r="J237" s="6" t="s">
        <v>363</v>
      </c>
      <c r="K237" s="54" t="s">
        <v>359</v>
      </c>
      <c r="L237" s="6">
        <v>225</v>
      </c>
      <c r="M237" s="55" t="s">
        <v>92</v>
      </c>
      <c r="N237" s="56" t="s">
        <v>364</v>
      </c>
      <c r="O237" s="56"/>
      <c r="P237" s="56"/>
      <c r="Q237" s="56"/>
    </row>
    <row r="238" spans="1:17" ht="19.25" customHeight="1">
      <c r="A238" s="18"/>
      <c r="B238" s="18"/>
      <c r="C238" s="18" t="s">
        <v>551</v>
      </c>
      <c r="D238" s="18"/>
      <c r="E238" s="18" t="s">
        <v>736</v>
      </c>
      <c r="F238" s="18"/>
      <c r="G238" s="18"/>
      <c r="H238" s="13" t="s">
        <v>108</v>
      </c>
      <c r="I238" s="12" t="s">
        <v>371</v>
      </c>
      <c r="J238" s="18" t="s">
        <v>487</v>
      </c>
      <c r="K238" s="30" t="s">
        <v>562</v>
      </c>
      <c r="L238" s="18">
        <v>225</v>
      </c>
      <c r="M238" s="28" t="s">
        <v>92</v>
      </c>
      <c r="N238" s="20" t="s">
        <v>364</v>
      </c>
      <c r="O238" s="27"/>
      <c r="P238" s="20"/>
      <c r="Q238" s="20"/>
    </row>
    <row r="239" spans="1:17" ht="19.25" customHeight="1">
      <c r="A239" s="6"/>
      <c r="B239" s="6"/>
      <c r="C239" s="6" t="s">
        <v>498</v>
      </c>
      <c r="D239" s="53"/>
      <c r="E239" s="6"/>
      <c r="F239" s="6"/>
      <c r="G239" s="6"/>
      <c r="H239" s="29" t="s">
        <v>108</v>
      </c>
      <c r="I239" s="4" t="s">
        <v>371</v>
      </c>
      <c r="J239" s="6" t="s">
        <v>368</v>
      </c>
      <c r="K239" s="54" t="s">
        <v>562</v>
      </c>
      <c r="L239" s="6">
        <v>225</v>
      </c>
      <c r="M239" s="55" t="s">
        <v>92</v>
      </c>
      <c r="N239" s="56" t="s">
        <v>364</v>
      </c>
      <c r="O239" s="57"/>
      <c r="P239" s="56"/>
      <c r="Q239" s="53"/>
    </row>
    <row r="240" spans="1:17" ht="19.25" customHeight="1">
      <c r="A240" s="6"/>
      <c r="B240" s="6"/>
      <c r="C240" s="6" t="s">
        <v>317</v>
      </c>
      <c r="D240" s="6"/>
      <c r="E240" s="6"/>
      <c r="F240" s="6"/>
      <c r="G240" s="6"/>
      <c r="H240" s="5" t="s">
        <v>108</v>
      </c>
      <c r="I240" s="6" t="s">
        <v>371</v>
      </c>
      <c r="J240" s="6" t="s">
        <v>141</v>
      </c>
      <c r="K240" s="54" t="s">
        <v>78</v>
      </c>
      <c r="L240" s="6">
        <v>225</v>
      </c>
      <c r="M240" s="55" t="s">
        <v>44</v>
      </c>
      <c r="N240" s="56" t="s">
        <v>364</v>
      </c>
      <c r="O240" s="56"/>
      <c r="P240" s="56"/>
      <c r="Q240" s="56"/>
    </row>
    <row r="241" spans="1:17" ht="19.25" customHeight="1">
      <c r="A241" s="74" t="s">
        <v>752</v>
      </c>
      <c r="B241" s="18"/>
      <c r="C241" s="18" t="s">
        <v>315</v>
      </c>
      <c r="D241" s="18"/>
      <c r="E241" s="18" t="s">
        <v>405</v>
      </c>
      <c r="F241" s="18"/>
      <c r="G241" s="18"/>
      <c r="H241" s="19" t="s">
        <v>108</v>
      </c>
      <c r="I241" s="18" t="s">
        <v>371</v>
      </c>
      <c r="J241" s="18" t="s">
        <v>141</v>
      </c>
      <c r="K241" s="30" t="s">
        <v>78</v>
      </c>
      <c r="L241" s="18">
        <v>225</v>
      </c>
      <c r="M241" s="28" t="s">
        <v>92</v>
      </c>
      <c r="N241" s="20" t="s">
        <v>367</v>
      </c>
      <c r="O241" s="20"/>
      <c r="P241" s="20"/>
      <c r="Q241" s="20"/>
    </row>
    <row r="242" spans="1:17" ht="19.25" customHeight="1">
      <c r="A242" s="18"/>
      <c r="B242" s="18"/>
      <c r="C242" s="78" t="s">
        <v>553</v>
      </c>
      <c r="D242" s="18"/>
      <c r="E242" s="18" t="s">
        <v>158</v>
      </c>
      <c r="F242" s="18"/>
      <c r="G242" s="18"/>
      <c r="H242" s="19" t="s">
        <v>108</v>
      </c>
      <c r="I242" s="18" t="s">
        <v>150</v>
      </c>
      <c r="J242" s="18" t="s">
        <v>141</v>
      </c>
      <c r="K242" s="30" t="s">
        <v>78</v>
      </c>
      <c r="L242" s="18">
        <v>225</v>
      </c>
      <c r="M242" s="28" t="s">
        <v>20</v>
      </c>
      <c r="N242" s="20" t="s">
        <v>152</v>
      </c>
      <c r="O242" s="66"/>
      <c r="P242" s="20"/>
      <c r="Q242" s="20"/>
    </row>
    <row r="243" spans="1:17" ht="19.25" customHeight="1">
      <c r="A243" s="12"/>
      <c r="B243" s="12"/>
      <c r="C243" s="75" t="s">
        <v>107</v>
      </c>
      <c r="D243" s="12"/>
      <c r="E243" s="12" t="s">
        <v>721</v>
      </c>
      <c r="F243" s="12"/>
      <c r="G243" s="12"/>
      <c r="H243" s="13" t="s">
        <v>108</v>
      </c>
      <c r="I243" s="12" t="s">
        <v>109</v>
      </c>
      <c r="J243" s="14" t="s">
        <v>105</v>
      </c>
      <c r="K243" s="15" t="s">
        <v>78</v>
      </c>
      <c r="L243" s="12">
        <v>225</v>
      </c>
      <c r="M243" s="28" t="s">
        <v>92</v>
      </c>
      <c r="N243" s="16" t="s">
        <v>102</v>
      </c>
      <c r="O243" s="12"/>
      <c r="P243" s="12"/>
      <c r="Q243" s="12"/>
    </row>
    <row r="244" spans="1:17" ht="19.25" customHeight="1">
      <c r="A244" s="6"/>
      <c r="B244" s="6"/>
      <c r="C244" s="6" t="s">
        <v>323</v>
      </c>
      <c r="D244" s="6"/>
      <c r="E244" s="6" t="s">
        <v>722</v>
      </c>
      <c r="F244" s="6"/>
      <c r="G244" s="6"/>
      <c r="H244" s="5" t="s">
        <v>108</v>
      </c>
      <c r="I244" s="6" t="s">
        <v>371</v>
      </c>
      <c r="J244" s="6" t="s">
        <v>141</v>
      </c>
      <c r="K244" s="54" t="s">
        <v>78</v>
      </c>
      <c r="L244" s="6">
        <v>225</v>
      </c>
      <c r="M244" s="55" t="s">
        <v>92</v>
      </c>
      <c r="N244" s="56" t="s">
        <v>361</v>
      </c>
      <c r="O244" s="56"/>
      <c r="P244" s="56"/>
      <c r="Q244" s="56"/>
    </row>
    <row r="245" spans="1:17" ht="19.25" customHeight="1">
      <c r="A245" s="6"/>
      <c r="B245" s="6"/>
      <c r="C245" s="6" t="s">
        <v>322</v>
      </c>
      <c r="D245" s="6"/>
      <c r="E245" s="6"/>
      <c r="F245" s="6"/>
      <c r="G245" s="6"/>
      <c r="H245" s="5" t="s">
        <v>108</v>
      </c>
      <c r="I245" s="6" t="s">
        <v>371</v>
      </c>
      <c r="J245" s="6" t="s">
        <v>141</v>
      </c>
      <c r="K245" s="54" t="s">
        <v>78</v>
      </c>
      <c r="L245" s="6">
        <v>225</v>
      </c>
      <c r="M245" s="55" t="s">
        <v>92</v>
      </c>
      <c r="N245" s="56" t="s">
        <v>361</v>
      </c>
      <c r="O245" s="56"/>
      <c r="P245" s="56"/>
      <c r="Q245" s="56"/>
    </row>
    <row r="246" spans="1:17" ht="19.25" customHeight="1">
      <c r="A246" s="6"/>
      <c r="B246" s="6"/>
      <c r="C246" s="6" t="s">
        <v>325</v>
      </c>
      <c r="D246" s="6"/>
      <c r="E246" s="6"/>
      <c r="F246" s="6"/>
      <c r="G246" s="6"/>
      <c r="H246" s="5" t="s">
        <v>108</v>
      </c>
      <c r="I246" s="6" t="s">
        <v>371</v>
      </c>
      <c r="J246" s="6" t="s">
        <v>363</v>
      </c>
      <c r="K246" s="54" t="s">
        <v>359</v>
      </c>
      <c r="L246" s="6">
        <v>225</v>
      </c>
      <c r="M246" s="55" t="s">
        <v>92</v>
      </c>
      <c r="N246" s="56" t="s">
        <v>361</v>
      </c>
      <c r="O246" s="56"/>
      <c r="P246" s="56"/>
      <c r="Q246" s="56"/>
    </row>
    <row r="247" spans="1:17" ht="19.25" customHeight="1">
      <c r="A247" s="6"/>
      <c r="B247" s="6"/>
      <c r="C247" s="6" t="s">
        <v>500</v>
      </c>
      <c r="D247" s="53"/>
      <c r="E247" s="6"/>
      <c r="F247" s="6"/>
      <c r="G247" s="6"/>
      <c r="H247" s="29" t="s">
        <v>108</v>
      </c>
      <c r="I247" s="4" t="s">
        <v>371</v>
      </c>
      <c r="J247" s="6" t="s">
        <v>368</v>
      </c>
      <c r="K247" s="54" t="s">
        <v>562</v>
      </c>
      <c r="L247" s="6">
        <v>225</v>
      </c>
      <c r="M247" s="55" t="s">
        <v>92</v>
      </c>
      <c r="N247" s="56" t="s">
        <v>361</v>
      </c>
      <c r="O247" s="57"/>
      <c r="P247" s="56"/>
      <c r="Q247" s="53"/>
    </row>
    <row r="248" spans="1:17" ht="19.25" customHeight="1">
      <c r="A248" s="6"/>
      <c r="B248" s="6"/>
      <c r="C248" s="6" t="s">
        <v>321</v>
      </c>
      <c r="D248" s="6"/>
      <c r="E248" s="6" t="s">
        <v>723</v>
      </c>
      <c r="F248" s="6"/>
      <c r="G248" s="6"/>
      <c r="H248" s="5" t="s">
        <v>108</v>
      </c>
      <c r="I248" s="6" t="s">
        <v>371</v>
      </c>
      <c r="J248" s="6" t="s">
        <v>141</v>
      </c>
      <c r="K248" s="54" t="s">
        <v>78</v>
      </c>
      <c r="L248" s="6">
        <v>225</v>
      </c>
      <c r="M248" s="55" t="s">
        <v>44</v>
      </c>
      <c r="N248" s="56" t="s">
        <v>361</v>
      </c>
      <c r="O248" s="56"/>
      <c r="P248" s="56"/>
      <c r="Q248" s="56"/>
    </row>
    <row r="249" spans="1:17" ht="19.25" customHeight="1">
      <c r="A249" s="6"/>
      <c r="B249" s="6"/>
      <c r="C249" s="6" t="s">
        <v>320</v>
      </c>
      <c r="D249" s="6"/>
      <c r="E249" s="6"/>
      <c r="F249" s="6"/>
      <c r="G249" s="6"/>
      <c r="H249" s="5" t="s">
        <v>108</v>
      </c>
      <c r="I249" s="6" t="s">
        <v>371</v>
      </c>
      <c r="J249" s="6" t="s">
        <v>141</v>
      </c>
      <c r="K249" s="54" t="s">
        <v>78</v>
      </c>
      <c r="L249" s="6">
        <v>225</v>
      </c>
      <c r="M249" s="55" t="s">
        <v>44</v>
      </c>
      <c r="N249" s="56" t="s">
        <v>361</v>
      </c>
      <c r="O249" s="56"/>
      <c r="P249" s="56"/>
      <c r="Q249" s="56"/>
    </row>
    <row r="250" spans="1:17" ht="19.25" customHeight="1">
      <c r="A250" s="6"/>
      <c r="B250" s="6"/>
      <c r="C250" s="6" t="s">
        <v>324</v>
      </c>
      <c r="D250" s="6"/>
      <c r="E250" s="6"/>
      <c r="F250" s="6"/>
      <c r="G250" s="6"/>
      <c r="H250" s="5" t="s">
        <v>108</v>
      </c>
      <c r="I250" s="6" t="s">
        <v>371</v>
      </c>
      <c r="J250" s="6" t="s">
        <v>363</v>
      </c>
      <c r="K250" s="54" t="s">
        <v>359</v>
      </c>
      <c r="L250" s="6">
        <v>225</v>
      </c>
      <c r="M250" s="55" t="s">
        <v>44</v>
      </c>
      <c r="N250" s="56" t="s">
        <v>361</v>
      </c>
      <c r="O250" s="56"/>
      <c r="P250" s="56"/>
      <c r="Q250" s="56"/>
    </row>
    <row r="251" spans="1:17" ht="19.25" customHeight="1">
      <c r="A251" s="74" t="s">
        <v>188</v>
      </c>
      <c r="B251" s="18"/>
      <c r="C251" s="18"/>
      <c r="D251" s="18"/>
      <c r="E251" s="18" t="s">
        <v>560</v>
      </c>
      <c r="F251" s="18"/>
      <c r="G251" s="18"/>
      <c r="H251" s="19" t="s">
        <v>108</v>
      </c>
      <c r="I251" s="18" t="s">
        <v>11</v>
      </c>
      <c r="J251" s="18" t="s">
        <v>43</v>
      </c>
      <c r="K251" s="30" t="s">
        <v>78</v>
      </c>
      <c r="L251" s="18">
        <v>226</v>
      </c>
      <c r="M251" s="28" t="s">
        <v>44</v>
      </c>
      <c r="N251" s="20" t="s">
        <v>61</v>
      </c>
      <c r="O251" s="20"/>
      <c r="P251" s="20"/>
      <c r="Q251" s="20"/>
    </row>
    <row r="252" spans="1:17" ht="19.25" customHeight="1">
      <c r="A252" s="6"/>
      <c r="B252" s="6"/>
      <c r="C252" s="6" t="s">
        <v>305</v>
      </c>
      <c r="D252" s="6"/>
      <c r="E252" s="6"/>
      <c r="F252" s="6"/>
      <c r="G252" s="6"/>
      <c r="H252" s="5" t="s">
        <v>108</v>
      </c>
      <c r="I252" s="6" t="s">
        <v>373</v>
      </c>
      <c r="J252" s="6" t="s">
        <v>141</v>
      </c>
      <c r="K252" s="54" t="s">
        <v>78</v>
      </c>
      <c r="L252" s="6">
        <v>226</v>
      </c>
      <c r="M252" s="55" t="s">
        <v>44</v>
      </c>
      <c r="N252" s="56" t="s">
        <v>364</v>
      </c>
      <c r="O252" s="56"/>
      <c r="P252" s="56"/>
      <c r="Q252" s="56"/>
    </row>
    <row r="253" spans="1:17" ht="19.25" customHeight="1">
      <c r="A253" s="6"/>
      <c r="B253" s="6"/>
      <c r="C253" s="6" t="s">
        <v>312</v>
      </c>
      <c r="D253" s="6"/>
      <c r="E253" s="6" t="s">
        <v>560</v>
      </c>
      <c r="F253" s="6"/>
      <c r="G253" s="6"/>
      <c r="H253" s="5" t="s">
        <v>108</v>
      </c>
      <c r="I253" s="6" t="s">
        <v>371</v>
      </c>
      <c r="J253" s="6" t="s">
        <v>141</v>
      </c>
      <c r="K253" s="54" t="s">
        <v>78</v>
      </c>
      <c r="L253" s="6">
        <v>226</v>
      </c>
      <c r="M253" s="55" t="s">
        <v>44</v>
      </c>
      <c r="N253" s="56" t="s">
        <v>364</v>
      </c>
      <c r="O253" s="56"/>
      <c r="P253" s="56"/>
      <c r="Q253" s="56"/>
    </row>
    <row r="254" spans="1:17" ht="19.25" customHeight="1">
      <c r="A254" s="6"/>
      <c r="B254" s="6"/>
      <c r="C254" s="6" t="s">
        <v>302</v>
      </c>
      <c r="D254" s="6"/>
      <c r="E254" s="6"/>
      <c r="F254" s="6"/>
      <c r="G254" s="6"/>
      <c r="H254" s="5" t="s">
        <v>108</v>
      </c>
      <c r="I254" s="6" t="s">
        <v>372</v>
      </c>
      <c r="J254" s="6" t="s">
        <v>141</v>
      </c>
      <c r="K254" s="54" t="s">
        <v>78</v>
      </c>
      <c r="L254" s="6">
        <v>226</v>
      </c>
      <c r="M254" s="55" t="s">
        <v>44</v>
      </c>
      <c r="N254" s="56" t="s">
        <v>360</v>
      </c>
      <c r="O254" s="56"/>
      <c r="P254" s="56"/>
      <c r="Q254" s="56"/>
    </row>
    <row r="255" spans="1:17" ht="19.25" customHeight="1">
      <c r="A255" s="6"/>
      <c r="B255" s="6"/>
      <c r="C255" s="6" t="s">
        <v>309</v>
      </c>
      <c r="D255" s="6"/>
      <c r="E255" s="6"/>
      <c r="F255" s="6"/>
      <c r="G255" s="6"/>
      <c r="H255" s="5" t="s">
        <v>108</v>
      </c>
      <c r="I255" s="6" t="s">
        <v>371</v>
      </c>
      <c r="J255" s="6" t="s">
        <v>141</v>
      </c>
      <c r="K255" s="54" t="s">
        <v>78</v>
      </c>
      <c r="L255" s="6">
        <v>226</v>
      </c>
      <c r="M255" s="55" t="s">
        <v>44</v>
      </c>
      <c r="N255" s="56" t="s">
        <v>360</v>
      </c>
      <c r="O255" s="56"/>
      <c r="P255" s="56"/>
      <c r="Q255" s="56"/>
    </row>
    <row r="256" spans="1:17" ht="19.25" customHeight="1">
      <c r="A256" s="6"/>
      <c r="B256" s="6"/>
      <c r="C256" s="6" t="s">
        <v>306</v>
      </c>
      <c r="D256" s="6"/>
      <c r="E256" s="6"/>
      <c r="F256" s="6"/>
      <c r="G256" s="6" t="s">
        <v>755</v>
      </c>
      <c r="H256" s="5" t="s">
        <v>108</v>
      </c>
      <c r="I256" s="6" t="s">
        <v>371</v>
      </c>
      <c r="J256" s="6" t="s">
        <v>363</v>
      </c>
      <c r="K256" s="54" t="s">
        <v>359</v>
      </c>
      <c r="L256" s="6">
        <v>226</v>
      </c>
      <c r="M256" s="55" t="s">
        <v>44</v>
      </c>
      <c r="N256" s="56" t="s">
        <v>360</v>
      </c>
      <c r="O256" s="56"/>
      <c r="P256" s="56"/>
      <c r="Q256" s="56"/>
    </row>
    <row r="257" spans="1:17" ht="19.25" customHeight="1">
      <c r="A257" s="6"/>
      <c r="B257" s="6"/>
      <c r="C257" s="6" t="s">
        <v>307</v>
      </c>
      <c r="D257" s="6"/>
      <c r="E257" s="6"/>
      <c r="F257" s="6"/>
      <c r="G257" s="6"/>
      <c r="H257" s="5" t="s">
        <v>108</v>
      </c>
      <c r="I257" s="6" t="s">
        <v>371</v>
      </c>
      <c r="J257" s="6" t="s">
        <v>363</v>
      </c>
      <c r="K257" s="54" t="s">
        <v>359</v>
      </c>
      <c r="L257" s="6">
        <v>226</v>
      </c>
      <c r="M257" s="55" t="s">
        <v>44</v>
      </c>
      <c r="N257" s="56" t="s">
        <v>360</v>
      </c>
      <c r="O257" s="56"/>
      <c r="P257" s="56"/>
      <c r="Q257" s="56"/>
    </row>
    <row r="258" spans="1:17" ht="19.25" customHeight="1">
      <c r="A258" s="6"/>
      <c r="B258" s="6"/>
      <c r="C258" s="6" t="s">
        <v>303</v>
      </c>
      <c r="D258" s="6"/>
      <c r="E258" s="6"/>
      <c r="F258" s="6"/>
      <c r="G258" s="6"/>
      <c r="H258" s="5" t="s">
        <v>108</v>
      </c>
      <c r="I258" s="6" t="s">
        <v>372</v>
      </c>
      <c r="J258" s="6" t="s">
        <v>141</v>
      </c>
      <c r="K258" s="54" t="s">
        <v>78</v>
      </c>
      <c r="L258" s="6">
        <v>226</v>
      </c>
      <c r="M258" s="55" t="s">
        <v>44</v>
      </c>
      <c r="N258" s="56" t="s">
        <v>361</v>
      </c>
      <c r="O258" s="56"/>
      <c r="P258" s="56"/>
      <c r="Q258" s="56"/>
    </row>
    <row r="259" spans="1:17" ht="19.25" customHeight="1">
      <c r="A259" s="6"/>
      <c r="B259" s="6"/>
      <c r="C259" s="6" t="s">
        <v>304</v>
      </c>
      <c r="D259" s="6"/>
      <c r="E259" s="6"/>
      <c r="F259" s="6"/>
      <c r="G259" s="6"/>
      <c r="H259" s="5" t="s">
        <v>108</v>
      </c>
      <c r="I259" s="6" t="s">
        <v>373</v>
      </c>
      <c r="J259" s="6" t="s">
        <v>141</v>
      </c>
      <c r="K259" s="54" t="s">
        <v>78</v>
      </c>
      <c r="L259" s="6">
        <v>226</v>
      </c>
      <c r="M259" s="55" t="s">
        <v>44</v>
      </c>
      <c r="N259" s="56" t="s">
        <v>361</v>
      </c>
      <c r="O259" s="56"/>
      <c r="P259" s="56"/>
      <c r="Q259" s="56"/>
    </row>
    <row r="260" spans="1:17" ht="19.25" customHeight="1">
      <c r="A260" s="6"/>
      <c r="B260" s="6"/>
      <c r="C260" s="6" t="s">
        <v>310</v>
      </c>
      <c r="D260" s="6"/>
      <c r="E260" s="6"/>
      <c r="F260" s="6"/>
      <c r="G260" s="6"/>
      <c r="H260" s="5" t="s">
        <v>108</v>
      </c>
      <c r="I260" s="6" t="s">
        <v>371</v>
      </c>
      <c r="J260" s="6" t="s">
        <v>141</v>
      </c>
      <c r="K260" s="54" t="s">
        <v>78</v>
      </c>
      <c r="L260" s="6">
        <v>226</v>
      </c>
      <c r="M260" s="55" t="s">
        <v>44</v>
      </c>
      <c r="N260" s="56" t="s">
        <v>361</v>
      </c>
      <c r="O260" s="56"/>
      <c r="P260" s="56"/>
      <c r="Q260" s="56"/>
    </row>
    <row r="261" spans="1:17" ht="19.25" customHeight="1">
      <c r="A261" s="6" t="s">
        <v>664</v>
      </c>
      <c r="B261" s="6"/>
      <c r="C261" s="6" t="s">
        <v>757</v>
      </c>
      <c r="D261" s="6"/>
      <c r="E261" s="6" t="s">
        <v>47</v>
      </c>
      <c r="F261" s="6"/>
      <c r="G261" s="6"/>
      <c r="H261" s="5" t="s">
        <v>108</v>
      </c>
      <c r="I261" s="6" t="s">
        <v>371</v>
      </c>
      <c r="J261" s="6" t="s">
        <v>141</v>
      </c>
      <c r="K261" s="54" t="s">
        <v>78</v>
      </c>
      <c r="L261" s="6">
        <v>226</v>
      </c>
      <c r="M261" s="55" t="s">
        <v>44</v>
      </c>
      <c r="N261" s="56" t="s">
        <v>361</v>
      </c>
      <c r="O261" s="56"/>
      <c r="P261" s="56"/>
      <c r="Q261" s="56"/>
    </row>
    <row r="262" spans="1:17" ht="19.25" customHeight="1">
      <c r="A262" s="6"/>
      <c r="B262" s="6"/>
      <c r="C262" s="6" t="s">
        <v>308</v>
      </c>
      <c r="D262" s="6"/>
      <c r="E262" s="6"/>
      <c r="F262" s="6"/>
      <c r="G262" s="6"/>
      <c r="H262" s="5" t="s">
        <v>108</v>
      </c>
      <c r="I262" s="6" t="s">
        <v>371</v>
      </c>
      <c r="J262" s="6" t="s">
        <v>363</v>
      </c>
      <c r="K262" s="54" t="s">
        <v>359</v>
      </c>
      <c r="L262" s="6">
        <v>226</v>
      </c>
      <c r="M262" s="55" t="s">
        <v>44</v>
      </c>
      <c r="N262" s="56" t="s">
        <v>361</v>
      </c>
      <c r="O262" s="56"/>
      <c r="P262" s="56"/>
      <c r="Q262" s="56"/>
    </row>
    <row r="263" spans="1:17" ht="19.25" customHeight="1">
      <c r="A263" s="6"/>
      <c r="B263" s="6"/>
      <c r="C263" s="6" t="s">
        <v>784</v>
      </c>
      <c r="D263" s="53"/>
      <c r="E263" s="6" t="e">
        <f>VLOOKUP(C263,[1]MLCC!$N$1941:$P$1948,3,0)</f>
        <v>#N/A</v>
      </c>
      <c r="F263" s="6"/>
      <c r="G263" s="6"/>
      <c r="H263" s="5" t="s">
        <v>108</v>
      </c>
      <c r="I263" s="4" t="s">
        <v>791</v>
      </c>
      <c r="J263" s="6" t="s">
        <v>782</v>
      </c>
      <c r="K263" s="54" t="str">
        <f>VLOOKUP(J263,材質!A:B,2,0)</f>
        <v xml:space="preserve">-55 to 105℃  </v>
      </c>
      <c r="L263" s="6">
        <v>226</v>
      </c>
      <c r="M263" s="55" t="s">
        <v>44</v>
      </c>
      <c r="N263" s="56" t="s">
        <v>788</v>
      </c>
      <c r="O263" s="57"/>
      <c r="P263" s="56"/>
      <c r="Q263" s="53"/>
    </row>
    <row r="264" spans="1:17" ht="19.25" customHeight="1">
      <c r="A264" s="6"/>
      <c r="B264" s="6"/>
      <c r="C264" s="6" t="s">
        <v>452</v>
      </c>
      <c r="D264" s="53"/>
      <c r="E264" s="6" t="s">
        <v>453</v>
      </c>
      <c r="F264" s="6"/>
      <c r="G264" s="6"/>
      <c r="H264" s="29" t="s">
        <v>108</v>
      </c>
      <c r="I264" s="4" t="s">
        <v>11</v>
      </c>
      <c r="J264" s="6" t="s">
        <v>41</v>
      </c>
      <c r="K264" s="54" t="s">
        <v>562</v>
      </c>
      <c r="L264" s="6">
        <v>271</v>
      </c>
      <c r="M264" s="55" t="s">
        <v>42</v>
      </c>
      <c r="N264" s="56" t="s">
        <v>64</v>
      </c>
      <c r="O264" s="56"/>
      <c r="P264" s="56"/>
      <c r="Q264" s="53"/>
    </row>
    <row r="265" spans="1:17" ht="19.25" customHeight="1">
      <c r="A265" s="6"/>
      <c r="B265" s="6"/>
      <c r="C265" s="6" t="s">
        <v>476</v>
      </c>
      <c r="D265" s="53"/>
      <c r="E265" s="6" t="s">
        <v>477</v>
      </c>
      <c r="F265" s="6"/>
      <c r="G265" s="6"/>
      <c r="H265" s="29" t="s">
        <v>108</v>
      </c>
      <c r="I265" s="4" t="s">
        <v>11</v>
      </c>
      <c r="J265" s="6" t="s">
        <v>40</v>
      </c>
      <c r="K265" s="54" t="s">
        <v>562</v>
      </c>
      <c r="L265" s="6">
        <v>272</v>
      </c>
      <c r="M265" s="55" t="s">
        <v>563</v>
      </c>
      <c r="N265" s="56" t="s">
        <v>64</v>
      </c>
      <c r="O265" s="56"/>
      <c r="P265" s="56"/>
      <c r="Q265" s="53"/>
    </row>
    <row r="266" spans="1:17" ht="19.25" customHeight="1">
      <c r="A266" s="6"/>
      <c r="B266" s="6"/>
      <c r="C266" s="6" t="s">
        <v>454</v>
      </c>
      <c r="D266" s="53"/>
      <c r="E266" s="6" t="s">
        <v>455</v>
      </c>
      <c r="F266" s="6"/>
      <c r="G266" s="6"/>
      <c r="H266" s="29" t="s">
        <v>108</v>
      </c>
      <c r="I266" s="4" t="s">
        <v>11</v>
      </c>
      <c r="J266" s="6" t="s">
        <v>41</v>
      </c>
      <c r="K266" s="54" t="s">
        <v>562</v>
      </c>
      <c r="L266" s="6">
        <v>330</v>
      </c>
      <c r="M266" s="55" t="s">
        <v>42</v>
      </c>
      <c r="N266" s="56" t="s">
        <v>64</v>
      </c>
      <c r="O266" s="56"/>
      <c r="P266" s="56"/>
      <c r="Q266" s="53"/>
    </row>
    <row r="267" spans="1:17" ht="19.25" customHeight="1">
      <c r="A267" s="6"/>
      <c r="B267" s="6"/>
      <c r="C267" s="6" t="s">
        <v>456</v>
      </c>
      <c r="D267" s="53"/>
      <c r="E267" s="6" t="s">
        <v>457</v>
      </c>
      <c r="F267" s="6"/>
      <c r="G267" s="6"/>
      <c r="H267" s="29" t="s">
        <v>108</v>
      </c>
      <c r="I267" s="4" t="s">
        <v>11</v>
      </c>
      <c r="J267" s="6" t="s">
        <v>41</v>
      </c>
      <c r="K267" s="54" t="s">
        <v>562</v>
      </c>
      <c r="L267" s="6">
        <v>331</v>
      </c>
      <c r="M267" s="55" t="s">
        <v>42</v>
      </c>
      <c r="N267" s="56" t="s">
        <v>64</v>
      </c>
      <c r="O267" s="56"/>
      <c r="P267" s="56"/>
      <c r="Q267" s="53"/>
    </row>
    <row r="268" spans="1:17" ht="19.25" customHeight="1">
      <c r="A268" s="6"/>
      <c r="B268" s="6"/>
      <c r="C268" s="6" t="s">
        <v>333</v>
      </c>
      <c r="D268" s="6"/>
      <c r="E268" s="6"/>
      <c r="F268" s="6"/>
      <c r="G268" s="6"/>
      <c r="H268" s="5" t="s">
        <v>108</v>
      </c>
      <c r="I268" s="6" t="s">
        <v>371</v>
      </c>
      <c r="J268" s="6" t="s">
        <v>141</v>
      </c>
      <c r="K268" s="54" t="s">
        <v>78</v>
      </c>
      <c r="L268" s="6">
        <v>335</v>
      </c>
      <c r="M268" s="55" t="s">
        <v>92</v>
      </c>
      <c r="N268" s="56" t="s">
        <v>364</v>
      </c>
      <c r="O268" s="56"/>
      <c r="P268" s="56"/>
      <c r="Q268" s="56"/>
    </row>
    <row r="269" spans="1:17" ht="19.25" customHeight="1">
      <c r="A269" s="6"/>
      <c r="B269" s="6"/>
      <c r="C269" s="6" t="s">
        <v>334</v>
      </c>
      <c r="D269" s="6"/>
      <c r="E269" s="6"/>
      <c r="F269" s="6"/>
      <c r="G269" s="6"/>
      <c r="H269" s="5" t="s">
        <v>108</v>
      </c>
      <c r="I269" s="6" t="s">
        <v>371</v>
      </c>
      <c r="J269" s="6" t="s">
        <v>141</v>
      </c>
      <c r="K269" s="54" t="s">
        <v>78</v>
      </c>
      <c r="L269" s="6">
        <v>335</v>
      </c>
      <c r="M269" s="55" t="s">
        <v>44</v>
      </c>
      <c r="N269" s="56" t="s">
        <v>364</v>
      </c>
      <c r="O269" s="56"/>
      <c r="P269" s="56"/>
      <c r="Q269" s="56"/>
    </row>
    <row r="270" spans="1:17" ht="19.25" customHeight="1">
      <c r="A270" s="6"/>
      <c r="B270" s="6"/>
      <c r="C270" s="6" t="s">
        <v>478</v>
      </c>
      <c r="D270" s="53"/>
      <c r="E270" s="6" t="s">
        <v>479</v>
      </c>
      <c r="F270" s="6"/>
      <c r="G270" s="6"/>
      <c r="H270" s="29" t="s">
        <v>108</v>
      </c>
      <c r="I270" s="4" t="s">
        <v>11</v>
      </c>
      <c r="J270" s="6" t="s">
        <v>40</v>
      </c>
      <c r="K270" s="54" t="s">
        <v>562</v>
      </c>
      <c r="L270" s="6">
        <v>392</v>
      </c>
      <c r="M270" s="55" t="s">
        <v>563</v>
      </c>
      <c r="N270" s="56" t="s">
        <v>64</v>
      </c>
      <c r="O270" s="56"/>
      <c r="P270" s="56"/>
      <c r="Q270" s="53"/>
    </row>
    <row r="271" spans="1:17" ht="19.25" customHeight="1">
      <c r="A271" s="6"/>
      <c r="B271" s="6"/>
      <c r="C271" s="6" t="s">
        <v>458</v>
      </c>
      <c r="D271" s="53"/>
      <c r="E271" s="6" t="s">
        <v>459</v>
      </c>
      <c r="F271" s="6"/>
      <c r="G271" s="6"/>
      <c r="H271" s="29" t="s">
        <v>108</v>
      </c>
      <c r="I271" s="4" t="s">
        <v>11</v>
      </c>
      <c r="J271" s="6" t="s">
        <v>41</v>
      </c>
      <c r="K271" s="54" t="s">
        <v>562</v>
      </c>
      <c r="L271" s="6">
        <v>470</v>
      </c>
      <c r="M271" s="55" t="s">
        <v>42</v>
      </c>
      <c r="N271" s="56" t="s">
        <v>64</v>
      </c>
      <c r="O271" s="56"/>
      <c r="P271" s="56"/>
      <c r="Q271" s="53"/>
    </row>
    <row r="272" spans="1:17" ht="19.25" customHeight="1">
      <c r="A272" s="18"/>
      <c r="B272" s="18"/>
      <c r="C272" s="18" t="s">
        <v>177</v>
      </c>
      <c r="D272" s="18"/>
      <c r="E272" s="18" t="s">
        <v>175</v>
      </c>
      <c r="F272" s="18"/>
      <c r="G272" s="18"/>
      <c r="H272" s="19" t="s">
        <v>108</v>
      </c>
      <c r="I272" s="18" t="s">
        <v>150</v>
      </c>
      <c r="J272" s="18" t="s">
        <v>176</v>
      </c>
      <c r="K272" s="30" t="s">
        <v>562</v>
      </c>
      <c r="L272" s="18">
        <v>471</v>
      </c>
      <c r="M272" s="28" t="s">
        <v>42</v>
      </c>
      <c r="N272" s="20" t="s">
        <v>160</v>
      </c>
      <c r="O272" s="20"/>
      <c r="P272" s="20"/>
      <c r="Q272" s="20"/>
    </row>
    <row r="273" spans="1:17" ht="19.25" customHeight="1">
      <c r="A273" s="6"/>
      <c r="B273" s="6"/>
      <c r="C273" s="6" t="s">
        <v>460</v>
      </c>
      <c r="D273" s="53"/>
      <c r="E273" s="6" t="s">
        <v>461</v>
      </c>
      <c r="F273" s="6"/>
      <c r="G273" s="6"/>
      <c r="H273" s="29" t="s">
        <v>108</v>
      </c>
      <c r="I273" s="4" t="s">
        <v>11</v>
      </c>
      <c r="J273" s="6" t="s">
        <v>41</v>
      </c>
      <c r="K273" s="54" t="s">
        <v>562</v>
      </c>
      <c r="L273" s="6">
        <v>471</v>
      </c>
      <c r="M273" s="55" t="s">
        <v>42</v>
      </c>
      <c r="N273" s="56" t="s">
        <v>64</v>
      </c>
      <c r="O273" s="56"/>
      <c r="P273" s="56"/>
      <c r="Q273" s="53"/>
    </row>
    <row r="274" spans="1:17" ht="19.25" customHeight="1">
      <c r="A274" s="18"/>
      <c r="B274" s="18"/>
      <c r="C274" s="18" t="s">
        <v>179</v>
      </c>
      <c r="D274" s="18"/>
      <c r="E274" s="18" t="s">
        <v>178</v>
      </c>
      <c r="F274" s="18"/>
      <c r="G274" s="18"/>
      <c r="H274" s="19" t="s">
        <v>108</v>
      </c>
      <c r="I274" s="18" t="s">
        <v>150</v>
      </c>
      <c r="J274" s="18" t="s">
        <v>176</v>
      </c>
      <c r="K274" s="30" t="s">
        <v>562</v>
      </c>
      <c r="L274" s="18">
        <v>472</v>
      </c>
      <c r="M274" s="28" t="s">
        <v>42</v>
      </c>
      <c r="N274" s="20" t="s">
        <v>160</v>
      </c>
      <c r="O274" s="20"/>
      <c r="P274" s="20"/>
      <c r="Q274" s="20"/>
    </row>
    <row r="275" spans="1:17" ht="19.25" customHeight="1">
      <c r="A275" s="6"/>
      <c r="B275" s="6"/>
      <c r="C275" s="6" t="s">
        <v>462</v>
      </c>
      <c r="D275" s="53"/>
      <c r="E275" s="6" t="s">
        <v>463</v>
      </c>
      <c r="F275" s="6"/>
      <c r="G275" s="6"/>
      <c r="H275" s="29" t="s">
        <v>108</v>
      </c>
      <c r="I275" s="4" t="s">
        <v>11</v>
      </c>
      <c r="J275" s="6" t="s">
        <v>41</v>
      </c>
      <c r="K275" s="54" t="s">
        <v>562</v>
      </c>
      <c r="L275" s="6">
        <v>472</v>
      </c>
      <c r="M275" s="55" t="s">
        <v>42</v>
      </c>
      <c r="N275" s="56" t="s">
        <v>64</v>
      </c>
      <c r="O275" s="56"/>
      <c r="P275" s="56"/>
      <c r="Q275" s="53"/>
    </row>
    <row r="276" spans="1:17" ht="19.25" customHeight="1">
      <c r="A276" s="6"/>
      <c r="B276" s="6"/>
      <c r="C276" s="6" t="s">
        <v>480</v>
      </c>
      <c r="D276" s="53"/>
      <c r="E276" s="6" t="s">
        <v>481</v>
      </c>
      <c r="F276" s="6"/>
      <c r="G276" s="6"/>
      <c r="H276" s="29" t="s">
        <v>108</v>
      </c>
      <c r="I276" s="4" t="s">
        <v>11</v>
      </c>
      <c r="J276" s="6" t="s">
        <v>40</v>
      </c>
      <c r="K276" s="54" t="s">
        <v>562</v>
      </c>
      <c r="L276" s="6">
        <v>473</v>
      </c>
      <c r="M276" s="55" t="s">
        <v>563</v>
      </c>
      <c r="N276" s="56" t="s">
        <v>64</v>
      </c>
      <c r="O276" s="56"/>
      <c r="P276" s="56"/>
      <c r="Q276" s="53"/>
    </row>
    <row r="277" spans="1:17" ht="19.25" customHeight="1">
      <c r="A277" s="6"/>
      <c r="B277" s="6"/>
      <c r="C277" s="6" t="s">
        <v>489</v>
      </c>
      <c r="D277" s="6"/>
      <c r="E277" s="6" t="s">
        <v>737</v>
      </c>
      <c r="F277" s="6"/>
      <c r="G277" s="6"/>
      <c r="H277" s="5" t="s">
        <v>108</v>
      </c>
      <c r="I277" s="6" t="s">
        <v>371</v>
      </c>
      <c r="J277" s="6" t="s">
        <v>403</v>
      </c>
      <c r="K277" s="54" t="s">
        <v>562</v>
      </c>
      <c r="L277" s="6">
        <v>474</v>
      </c>
      <c r="M277" s="55" t="s">
        <v>92</v>
      </c>
      <c r="N277" s="56" t="s">
        <v>367</v>
      </c>
      <c r="O277" s="63"/>
      <c r="P277" s="56"/>
      <c r="Q277" s="56"/>
    </row>
    <row r="278" spans="1:17" ht="19.25" customHeight="1">
      <c r="A278" s="6"/>
      <c r="B278" s="6"/>
      <c r="C278" s="6" t="s">
        <v>470</v>
      </c>
      <c r="D278" s="53"/>
      <c r="E278" s="6" t="s">
        <v>471</v>
      </c>
      <c r="F278" s="6"/>
      <c r="G278" s="6"/>
      <c r="H278" s="29" t="s">
        <v>108</v>
      </c>
      <c r="I278" s="4" t="s">
        <v>11</v>
      </c>
      <c r="J278" s="6" t="s">
        <v>40</v>
      </c>
      <c r="K278" s="54" t="s">
        <v>562</v>
      </c>
      <c r="L278" s="6">
        <v>474</v>
      </c>
      <c r="M278" s="55" t="s">
        <v>563</v>
      </c>
      <c r="N278" s="56" t="s">
        <v>63</v>
      </c>
      <c r="O278" s="56"/>
      <c r="P278" s="56"/>
      <c r="Q278" s="53"/>
    </row>
    <row r="279" spans="1:17" ht="19.25" customHeight="1">
      <c r="A279" s="6" t="s">
        <v>544</v>
      </c>
      <c r="B279" s="6"/>
      <c r="C279" s="6" t="s">
        <v>327</v>
      </c>
      <c r="D279" s="6"/>
      <c r="E279" s="6" t="s">
        <v>725</v>
      </c>
      <c r="F279" s="6"/>
      <c r="G279" s="6"/>
      <c r="H279" s="5" t="s">
        <v>108</v>
      </c>
      <c r="I279" s="6" t="s">
        <v>371</v>
      </c>
      <c r="J279" s="6" t="s">
        <v>141</v>
      </c>
      <c r="K279" s="54" t="s">
        <v>78</v>
      </c>
      <c r="L279" s="6">
        <v>475</v>
      </c>
      <c r="M279" s="55" t="s">
        <v>92</v>
      </c>
      <c r="N279" s="56" t="s">
        <v>364</v>
      </c>
      <c r="O279" s="56"/>
      <c r="P279" s="56"/>
      <c r="Q279" s="56"/>
    </row>
    <row r="280" spans="1:17" ht="19.25" customHeight="1">
      <c r="A280" s="6"/>
      <c r="B280" s="6"/>
      <c r="C280" s="6" t="s">
        <v>335</v>
      </c>
      <c r="D280" s="6"/>
      <c r="E280" s="6" t="s">
        <v>724</v>
      </c>
      <c r="F280" s="6"/>
      <c r="G280" s="6"/>
      <c r="H280" s="5" t="s">
        <v>108</v>
      </c>
      <c r="I280" s="6" t="s">
        <v>371</v>
      </c>
      <c r="J280" s="6" t="s">
        <v>141</v>
      </c>
      <c r="K280" s="54" t="s">
        <v>78</v>
      </c>
      <c r="L280" s="6">
        <v>475</v>
      </c>
      <c r="M280" s="55" t="s">
        <v>44</v>
      </c>
      <c r="N280" s="56" t="s">
        <v>605</v>
      </c>
      <c r="O280" s="56"/>
      <c r="P280" s="56"/>
      <c r="Q280" s="56"/>
    </row>
    <row r="281" spans="1:17" ht="19.25" customHeight="1">
      <c r="A281" s="18"/>
      <c r="B281" s="18"/>
      <c r="C281" s="18" t="s">
        <v>639</v>
      </c>
      <c r="D281" s="18"/>
      <c r="E281" s="18" t="s">
        <v>406</v>
      </c>
      <c r="F281" s="18"/>
      <c r="G281" s="18"/>
      <c r="H281" s="19" t="s">
        <v>108</v>
      </c>
      <c r="I281" s="18" t="s">
        <v>371</v>
      </c>
      <c r="J281" s="18" t="s">
        <v>141</v>
      </c>
      <c r="K281" s="30" t="s">
        <v>78</v>
      </c>
      <c r="L281" s="18">
        <v>475</v>
      </c>
      <c r="M281" s="28" t="s">
        <v>92</v>
      </c>
      <c r="N281" s="20" t="s">
        <v>369</v>
      </c>
      <c r="O281" s="20"/>
      <c r="P281" s="20"/>
      <c r="Q281" s="20"/>
    </row>
    <row r="282" spans="1:17" ht="19.25" customHeight="1">
      <c r="A282" s="6"/>
      <c r="B282" s="6"/>
      <c r="C282" s="6" t="s">
        <v>328</v>
      </c>
      <c r="D282" s="6"/>
      <c r="E282" s="6"/>
      <c r="F282" s="6"/>
      <c r="G282" s="6"/>
      <c r="H282" s="5" t="s">
        <v>108</v>
      </c>
      <c r="I282" s="6" t="s">
        <v>371</v>
      </c>
      <c r="J282" s="6" t="s">
        <v>363</v>
      </c>
      <c r="K282" s="54" t="s">
        <v>359</v>
      </c>
      <c r="L282" s="6">
        <v>475</v>
      </c>
      <c r="M282" s="55" t="s">
        <v>92</v>
      </c>
      <c r="N282" s="56" t="s">
        <v>360</v>
      </c>
      <c r="O282" s="56"/>
      <c r="P282" s="56"/>
      <c r="Q282" s="56"/>
    </row>
    <row r="283" spans="1:17" ht="19.25" customHeight="1">
      <c r="A283" s="6"/>
      <c r="B283" s="6"/>
      <c r="C283" s="6" t="s">
        <v>329</v>
      </c>
      <c r="D283" s="6"/>
      <c r="E283" s="6"/>
      <c r="F283" s="6"/>
      <c r="G283" s="6"/>
      <c r="H283" s="5" t="s">
        <v>108</v>
      </c>
      <c r="I283" s="6" t="s">
        <v>371</v>
      </c>
      <c r="J283" s="6" t="s">
        <v>363</v>
      </c>
      <c r="K283" s="54" t="s">
        <v>359</v>
      </c>
      <c r="L283" s="6">
        <v>475</v>
      </c>
      <c r="M283" s="55" t="s">
        <v>44</v>
      </c>
      <c r="N283" s="56" t="s">
        <v>360</v>
      </c>
      <c r="O283" s="56"/>
      <c r="P283" s="56"/>
      <c r="Q283" s="56"/>
    </row>
    <row r="284" spans="1:17" ht="19.25" customHeight="1">
      <c r="A284" s="6" t="s">
        <v>680</v>
      </c>
      <c r="B284" s="6"/>
      <c r="C284" s="6" t="s">
        <v>612</v>
      </c>
      <c r="D284" s="6"/>
      <c r="E284" s="6" t="s">
        <v>726</v>
      </c>
      <c r="F284" s="6"/>
      <c r="G284" s="6"/>
      <c r="H284" s="5" t="s">
        <v>108</v>
      </c>
      <c r="I284" s="6" t="s">
        <v>371</v>
      </c>
      <c r="J284" s="6" t="s">
        <v>141</v>
      </c>
      <c r="K284" s="54" t="s">
        <v>78</v>
      </c>
      <c r="L284" s="6">
        <v>475</v>
      </c>
      <c r="M284" s="55" t="s">
        <v>92</v>
      </c>
      <c r="N284" s="56" t="s">
        <v>361</v>
      </c>
      <c r="O284" s="56"/>
      <c r="P284" s="56"/>
      <c r="Q284" s="56"/>
    </row>
    <row r="285" spans="1:17" ht="19.25" customHeight="1">
      <c r="A285" s="6"/>
      <c r="B285" s="6"/>
      <c r="C285" s="6" t="s">
        <v>330</v>
      </c>
      <c r="D285" s="6"/>
      <c r="E285" s="6"/>
      <c r="F285" s="6"/>
      <c r="G285" s="6"/>
      <c r="H285" s="5" t="s">
        <v>108</v>
      </c>
      <c r="I285" s="6" t="s">
        <v>371</v>
      </c>
      <c r="J285" s="6" t="s">
        <v>363</v>
      </c>
      <c r="K285" s="54" t="s">
        <v>359</v>
      </c>
      <c r="L285" s="6">
        <v>475</v>
      </c>
      <c r="M285" s="55" t="s">
        <v>92</v>
      </c>
      <c r="N285" s="56" t="s">
        <v>361</v>
      </c>
      <c r="O285" s="56"/>
      <c r="P285" s="56"/>
      <c r="Q285" s="56"/>
    </row>
    <row r="286" spans="1:17" ht="19.25" customHeight="1">
      <c r="A286" s="6"/>
      <c r="B286" s="6"/>
      <c r="C286" s="6" t="s">
        <v>326</v>
      </c>
      <c r="D286" s="6"/>
      <c r="E286" s="6" t="s">
        <v>727</v>
      </c>
      <c r="F286" s="6"/>
      <c r="G286" s="6"/>
      <c r="H286" s="5" t="s">
        <v>108</v>
      </c>
      <c r="I286" s="6" t="s">
        <v>371</v>
      </c>
      <c r="J286" s="6" t="s">
        <v>141</v>
      </c>
      <c r="K286" s="54" t="s">
        <v>78</v>
      </c>
      <c r="L286" s="6">
        <v>475</v>
      </c>
      <c r="M286" s="55" t="s">
        <v>44</v>
      </c>
      <c r="N286" s="56" t="s">
        <v>361</v>
      </c>
      <c r="O286" s="56"/>
      <c r="P286" s="56"/>
      <c r="Q286" s="56"/>
    </row>
    <row r="287" spans="1:17" ht="19.25" customHeight="1">
      <c r="A287" s="6"/>
      <c r="B287" s="6"/>
      <c r="C287" s="6" t="s">
        <v>331</v>
      </c>
      <c r="D287" s="6"/>
      <c r="E287" s="6"/>
      <c r="F287" s="6"/>
      <c r="G287" s="6" t="s">
        <v>756</v>
      </c>
      <c r="H287" s="5" t="s">
        <v>108</v>
      </c>
      <c r="I287" s="6" t="s">
        <v>371</v>
      </c>
      <c r="J287" s="6" t="s">
        <v>363</v>
      </c>
      <c r="K287" s="54" t="s">
        <v>359</v>
      </c>
      <c r="L287" s="6">
        <v>475</v>
      </c>
      <c r="M287" s="55" t="s">
        <v>44</v>
      </c>
      <c r="N287" s="56" t="s">
        <v>361</v>
      </c>
      <c r="O287" s="56"/>
      <c r="P287" s="56"/>
      <c r="Q287" s="56"/>
    </row>
    <row r="288" spans="1:17" ht="19.25" customHeight="1">
      <c r="A288" s="6"/>
      <c r="B288" s="6"/>
      <c r="C288" s="6" t="s">
        <v>332</v>
      </c>
      <c r="D288" s="6"/>
      <c r="E288" s="6"/>
      <c r="F288" s="6"/>
      <c r="G288" s="6"/>
      <c r="H288" s="5" t="s">
        <v>108</v>
      </c>
      <c r="I288" s="6" t="s">
        <v>371</v>
      </c>
      <c r="J288" s="6" t="s">
        <v>363</v>
      </c>
      <c r="K288" s="54" t="s">
        <v>359</v>
      </c>
      <c r="L288" s="6">
        <v>475</v>
      </c>
      <c r="M288" s="55" t="s">
        <v>44</v>
      </c>
      <c r="N288" s="56" t="s">
        <v>361</v>
      </c>
      <c r="O288" s="56"/>
      <c r="P288" s="56"/>
      <c r="Q288" s="56"/>
    </row>
    <row r="289" spans="1:17" ht="19.25" customHeight="1">
      <c r="A289" s="74" t="s">
        <v>759</v>
      </c>
      <c r="B289" s="18"/>
      <c r="C289" s="18"/>
      <c r="D289" s="18"/>
      <c r="E289" s="18" t="s">
        <v>744</v>
      </c>
      <c r="F289" s="18"/>
      <c r="G289" s="18"/>
      <c r="H289" s="19" t="s">
        <v>108</v>
      </c>
      <c r="I289" s="18" t="s">
        <v>150</v>
      </c>
      <c r="J289" s="18" t="s">
        <v>141</v>
      </c>
      <c r="K289" s="30" t="s">
        <v>78</v>
      </c>
      <c r="L289" s="18">
        <v>476</v>
      </c>
      <c r="M289" s="28" t="s">
        <v>44</v>
      </c>
      <c r="N289" s="20" t="s">
        <v>149</v>
      </c>
      <c r="O289" s="20"/>
      <c r="P289" s="20"/>
      <c r="Q289" s="20"/>
    </row>
    <row r="290" spans="1:17" ht="19.25" customHeight="1">
      <c r="A290" s="12" t="s">
        <v>877</v>
      </c>
      <c r="B290" s="12"/>
      <c r="C290" s="12"/>
      <c r="D290" s="12" t="s">
        <v>132</v>
      </c>
      <c r="E290" s="12" t="s">
        <v>743</v>
      </c>
      <c r="F290" s="12"/>
      <c r="G290" s="12"/>
      <c r="H290" s="13" t="s">
        <v>108</v>
      </c>
      <c r="I290" s="18"/>
      <c r="J290" s="14" t="s">
        <v>43</v>
      </c>
      <c r="K290" s="15" t="s">
        <v>78</v>
      </c>
      <c r="L290" s="12">
        <v>476</v>
      </c>
      <c r="M290" s="28" t="s">
        <v>44</v>
      </c>
      <c r="N290" s="16" t="s">
        <v>65</v>
      </c>
      <c r="O290" s="12"/>
      <c r="P290" s="12"/>
      <c r="Q290" s="12"/>
    </row>
    <row r="291" spans="1:17" ht="19.25" customHeight="1">
      <c r="A291" s="6"/>
      <c r="B291" s="6"/>
      <c r="C291" s="6" t="s">
        <v>464</v>
      </c>
      <c r="D291" s="53"/>
      <c r="E291" s="6" t="s">
        <v>465</v>
      </c>
      <c r="F291" s="6"/>
      <c r="G291" s="6"/>
      <c r="H291" s="29" t="s">
        <v>108</v>
      </c>
      <c r="I291" s="4" t="s">
        <v>11</v>
      </c>
      <c r="J291" s="6" t="s">
        <v>41</v>
      </c>
      <c r="K291" s="54" t="s">
        <v>562</v>
      </c>
      <c r="L291" s="6">
        <v>561</v>
      </c>
      <c r="M291" s="55" t="s">
        <v>42</v>
      </c>
      <c r="N291" s="56" t="s">
        <v>64</v>
      </c>
      <c r="O291" s="56"/>
      <c r="P291" s="56"/>
      <c r="Q291" s="53"/>
    </row>
    <row r="292" spans="1:17" ht="19.25" customHeight="1">
      <c r="A292" s="6"/>
      <c r="B292" s="6"/>
      <c r="C292" s="6" t="s">
        <v>482</v>
      </c>
      <c r="D292" s="53"/>
      <c r="E292" s="6" t="s">
        <v>483</v>
      </c>
      <c r="F292" s="6"/>
      <c r="G292" s="6"/>
      <c r="H292" s="29" t="s">
        <v>108</v>
      </c>
      <c r="I292" s="4" t="s">
        <v>11</v>
      </c>
      <c r="J292" s="6" t="s">
        <v>40</v>
      </c>
      <c r="K292" s="54" t="s">
        <v>562</v>
      </c>
      <c r="L292" s="6">
        <v>562</v>
      </c>
      <c r="M292" s="55" t="s">
        <v>563</v>
      </c>
      <c r="N292" s="56" t="s">
        <v>64</v>
      </c>
      <c r="O292" s="56"/>
      <c r="P292" s="56"/>
      <c r="Q292" s="53"/>
    </row>
    <row r="293" spans="1:17" ht="19.25" customHeight="1">
      <c r="A293" s="6"/>
      <c r="B293" s="6"/>
      <c r="C293" s="6" t="s">
        <v>492</v>
      </c>
      <c r="D293" s="6"/>
      <c r="E293" s="6"/>
      <c r="F293" s="6"/>
      <c r="G293" s="6"/>
      <c r="H293" s="5" t="s">
        <v>108</v>
      </c>
      <c r="I293" s="6" t="s">
        <v>371</v>
      </c>
      <c r="J293" s="6" t="s">
        <v>403</v>
      </c>
      <c r="K293" s="54" t="s">
        <v>562</v>
      </c>
      <c r="L293" s="6">
        <v>682</v>
      </c>
      <c r="M293" s="55" t="s">
        <v>92</v>
      </c>
      <c r="N293" s="56" t="s">
        <v>375</v>
      </c>
      <c r="O293" s="63"/>
      <c r="P293" s="56"/>
      <c r="Q293" s="56"/>
    </row>
    <row r="294" spans="1:17" ht="19.25" customHeight="1">
      <c r="A294" s="6"/>
      <c r="B294" s="6"/>
      <c r="C294" s="6" t="s">
        <v>313</v>
      </c>
      <c r="D294" s="6"/>
      <c r="E294" s="6"/>
      <c r="F294" s="6"/>
      <c r="G294" s="6"/>
      <c r="H294" s="5" t="s">
        <v>108</v>
      </c>
      <c r="I294" s="6"/>
      <c r="J294" s="6"/>
      <c r="K294" s="54" t="s">
        <v>78</v>
      </c>
      <c r="L294" s="6"/>
      <c r="M294" s="55"/>
      <c r="N294" s="56"/>
      <c r="O294" s="56"/>
      <c r="P294" s="56"/>
      <c r="Q294" s="56"/>
    </row>
    <row r="295" spans="1:17" ht="19.25" customHeight="1">
      <c r="A295" s="6"/>
      <c r="B295" s="6"/>
      <c r="C295" s="6" t="s">
        <v>314</v>
      </c>
      <c r="D295" s="6"/>
      <c r="E295" s="6"/>
      <c r="F295" s="6"/>
      <c r="G295" s="6"/>
      <c r="H295" s="5" t="s">
        <v>108</v>
      </c>
      <c r="I295" s="6"/>
      <c r="J295" s="6"/>
      <c r="K295" s="54" t="s">
        <v>78</v>
      </c>
      <c r="L295" s="6"/>
      <c r="M295" s="55"/>
      <c r="N295" s="56"/>
      <c r="O295" s="56"/>
      <c r="P295" s="56"/>
      <c r="Q295" s="56"/>
    </row>
    <row r="296" spans="1:17" ht="19.25" customHeight="1">
      <c r="A296" s="6"/>
      <c r="B296" s="6"/>
      <c r="C296" s="6" t="s">
        <v>709</v>
      </c>
      <c r="D296" s="6"/>
      <c r="E296" s="6" t="s">
        <v>874</v>
      </c>
      <c r="F296" s="6"/>
      <c r="G296" s="6" t="s">
        <v>26</v>
      </c>
      <c r="H296" s="5" t="s">
        <v>108</v>
      </c>
      <c r="I296" s="6" t="s">
        <v>19</v>
      </c>
      <c r="J296" s="6" t="s">
        <v>40</v>
      </c>
      <c r="K296" s="54" t="s">
        <v>562</v>
      </c>
      <c r="L296" s="6">
        <v>104</v>
      </c>
      <c r="M296" s="55" t="s">
        <v>20</v>
      </c>
      <c r="N296" s="56" t="s">
        <v>64</v>
      </c>
      <c r="O296" s="56"/>
      <c r="P296" s="56"/>
      <c r="Q296" s="56"/>
    </row>
    <row r="297" spans="1:17" ht="19.25" customHeight="1">
      <c r="A297" s="6"/>
      <c r="B297" s="6"/>
      <c r="C297" s="6" t="s">
        <v>484</v>
      </c>
      <c r="D297" s="53"/>
      <c r="E297" s="6" t="s">
        <v>485</v>
      </c>
      <c r="F297" s="6"/>
      <c r="G297" s="6"/>
      <c r="H297" s="5" t="s">
        <v>52</v>
      </c>
      <c r="I297" s="6" t="s">
        <v>486</v>
      </c>
      <c r="J297" s="6" t="s">
        <v>41</v>
      </c>
      <c r="K297" s="54" t="s">
        <v>562</v>
      </c>
      <c r="L297" s="6">
        <v>101</v>
      </c>
      <c r="M297" s="55" t="s">
        <v>42</v>
      </c>
      <c r="N297" s="56" t="s">
        <v>64</v>
      </c>
      <c r="O297" s="56"/>
      <c r="P297" s="56"/>
      <c r="Q297" s="53"/>
    </row>
    <row r="298" spans="1:17" ht="19.25" customHeight="1">
      <c r="A298" s="18"/>
      <c r="B298" s="18"/>
      <c r="C298" s="78" t="s">
        <v>167</v>
      </c>
      <c r="D298" s="18"/>
      <c r="E298" s="18" t="s">
        <v>165</v>
      </c>
      <c r="F298" s="18"/>
      <c r="G298" s="18"/>
      <c r="H298" s="19" t="s">
        <v>13</v>
      </c>
      <c r="I298" s="18" t="s">
        <v>14</v>
      </c>
      <c r="J298" s="18" t="s">
        <v>161</v>
      </c>
      <c r="K298" s="30" t="s">
        <v>562</v>
      </c>
      <c r="L298" s="18">
        <v>104</v>
      </c>
      <c r="M298" s="28" t="s">
        <v>563</v>
      </c>
      <c r="N298" s="20" t="s">
        <v>166</v>
      </c>
      <c r="O298" s="20"/>
      <c r="P298" s="20"/>
      <c r="Q298" s="20"/>
    </row>
    <row r="299" spans="1:17" ht="19.25" customHeight="1">
      <c r="A299" s="6"/>
      <c r="B299" s="6"/>
      <c r="C299" s="6"/>
      <c r="D299" s="6"/>
      <c r="E299" s="6" t="s">
        <v>622</v>
      </c>
      <c r="F299" s="6"/>
      <c r="G299" s="62" t="s">
        <v>623</v>
      </c>
      <c r="H299" s="5" t="s">
        <v>13</v>
      </c>
      <c r="I299" s="6" t="s">
        <v>14</v>
      </c>
      <c r="J299" s="6" t="s">
        <v>40</v>
      </c>
      <c r="K299" s="54" t="s">
        <v>562</v>
      </c>
      <c r="L299" s="6">
        <v>104</v>
      </c>
      <c r="M299" s="55" t="s">
        <v>20</v>
      </c>
      <c r="N299" s="56" t="s">
        <v>64</v>
      </c>
      <c r="O299" s="56"/>
      <c r="P299" s="56"/>
      <c r="Q299" s="56"/>
    </row>
    <row r="300" spans="1:17" ht="19.25" customHeight="1">
      <c r="A300" s="18"/>
      <c r="B300" s="18"/>
      <c r="C300" s="18" t="s">
        <v>595</v>
      </c>
      <c r="D300" s="18"/>
      <c r="E300" s="18" t="s">
        <v>133</v>
      </c>
      <c r="F300" s="18" t="s">
        <v>48</v>
      </c>
      <c r="G300" s="18"/>
      <c r="H300" s="19" t="s">
        <v>52</v>
      </c>
      <c r="I300" s="18" t="s">
        <v>14</v>
      </c>
      <c r="J300" s="18" t="s">
        <v>40</v>
      </c>
      <c r="K300" s="30" t="s">
        <v>562</v>
      </c>
      <c r="L300" s="18">
        <v>105</v>
      </c>
      <c r="M300" s="28" t="s">
        <v>92</v>
      </c>
      <c r="N300" s="20" t="s">
        <v>63</v>
      </c>
      <c r="O300" s="20"/>
      <c r="P300" s="20"/>
      <c r="Q300" s="20"/>
    </row>
    <row r="301" spans="1:17" ht="19.25" customHeight="1">
      <c r="A301" s="6"/>
      <c r="B301" s="6"/>
      <c r="C301" s="6" t="s">
        <v>512</v>
      </c>
      <c r="D301" s="53"/>
      <c r="E301" s="6"/>
      <c r="F301" s="6"/>
      <c r="G301" s="6"/>
      <c r="H301" s="5" t="s">
        <v>52</v>
      </c>
      <c r="I301" s="4" t="s">
        <v>374</v>
      </c>
      <c r="J301" s="6" t="s">
        <v>368</v>
      </c>
      <c r="K301" s="54" t="s">
        <v>562</v>
      </c>
      <c r="L301" s="6">
        <v>105</v>
      </c>
      <c r="M301" s="55" t="s">
        <v>92</v>
      </c>
      <c r="N301" s="56" t="s">
        <v>370</v>
      </c>
      <c r="O301" s="57"/>
      <c r="P301" s="56"/>
      <c r="Q301" s="53"/>
    </row>
    <row r="302" spans="1:17" ht="19.25" customHeight="1">
      <c r="A302" s="6" t="s">
        <v>777</v>
      </c>
      <c r="B302" s="6"/>
      <c r="C302" s="6"/>
      <c r="D302" s="53"/>
      <c r="E302" s="6" t="s">
        <v>778</v>
      </c>
      <c r="F302" s="6"/>
      <c r="G302" s="6"/>
      <c r="H302" s="5" t="s">
        <v>52</v>
      </c>
      <c r="I302" s="4" t="s">
        <v>377</v>
      </c>
      <c r="J302" s="6" t="s">
        <v>141</v>
      </c>
      <c r="K302" s="54" t="s">
        <v>78</v>
      </c>
      <c r="L302" s="6">
        <v>105</v>
      </c>
      <c r="M302" s="55" t="s">
        <v>92</v>
      </c>
      <c r="N302" s="56" t="s">
        <v>375</v>
      </c>
      <c r="O302" s="57"/>
      <c r="P302" s="56"/>
      <c r="Q302" s="53"/>
    </row>
    <row r="303" spans="1:17" ht="19.25" customHeight="1">
      <c r="A303" s="4" t="s">
        <v>779</v>
      </c>
      <c r="B303" s="4"/>
      <c r="C303" s="77" t="s">
        <v>110</v>
      </c>
      <c r="D303" s="4"/>
      <c r="E303" s="4" t="s">
        <v>112</v>
      </c>
      <c r="F303" s="4"/>
      <c r="G303" s="4" t="s">
        <v>113</v>
      </c>
      <c r="H303" s="29" t="s">
        <v>52</v>
      </c>
      <c r="I303" s="4" t="s">
        <v>114</v>
      </c>
      <c r="J303" s="22" t="s">
        <v>111</v>
      </c>
      <c r="K303" s="54" t="s">
        <v>562</v>
      </c>
      <c r="L303" s="4">
        <v>105</v>
      </c>
      <c r="M303" s="55" t="s">
        <v>567</v>
      </c>
      <c r="N303" s="60" t="s">
        <v>102</v>
      </c>
      <c r="O303" s="4"/>
      <c r="P303" s="4"/>
      <c r="Q303" s="4"/>
    </row>
    <row r="304" spans="1:17" ht="19.25" customHeight="1">
      <c r="A304" s="6"/>
      <c r="B304" s="6"/>
      <c r="C304" s="6" t="s">
        <v>511</v>
      </c>
      <c r="D304" s="53"/>
      <c r="E304" s="6"/>
      <c r="F304" s="6"/>
      <c r="G304" s="6"/>
      <c r="H304" s="5" t="s">
        <v>52</v>
      </c>
      <c r="I304" s="4" t="s">
        <v>374</v>
      </c>
      <c r="J304" s="6" t="s">
        <v>368</v>
      </c>
      <c r="K304" s="54" t="s">
        <v>562</v>
      </c>
      <c r="L304" s="6">
        <v>105</v>
      </c>
      <c r="M304" s="55" t="s">
        <v>92</v>
      </c>
      <c r="N304" s="56" t="s">
        <v>375</v>
      </c>
      <c r="O304" s="57"/>
      <c r="P304" s="56"/>
      <c r="Q304" s="53"/>
    </row>
    <row r="305" spans="1:17" ht="19.25" customHeight="1">
      <c r="A305" s="6"/>
      <c r="B305" s="6"/>
      <c r="C305" s="6" t="s">
        <v>554</v>
      </c>
      <c r="D305" s="6"/>
      <c r="E305" s="6" t="s">
        <v>28</v>
      </c>
      <c r="F305" s="6"/>
      <c r="G305" s="6"/>
      <c r="H305" s="5" t="s">
        <v>13</v>
      </c>
      <c r="I305" s="6" t="s">
        <v>14</v>
      </c>
      <c r="J305" s="6" t="s">
        <v>80</v>
      </c>
      <c r="K305" s="54" t="s">
        <v>78</v>
      </c>
      <c r="L305" s="6">
        <v>106</v>
      </c>
      <c r="M305" s="55" t="s">
        <v>92</v>
      </c>
      <c r="N305" s="56" t="s">
        <v>61</v>
      </c>
      <c r="O305" s="56"/>
      <c r="P305" s="56"/>
      <c r="Q305" s="56"/>
    </row>
    <row r="306" spans="1:17" ht="19.25" customHeight="1">
      <c r="A306" s="18"/>
      <c r="B306" s="18"/>
      <c r="C306" s="74" t="s">
        <v>601</v>
      </c>
      <c r="D306" s="18"/>
      <c r="E306" s="18" t="s">
        <v>738</v>
      </c>
      <c r="F306" s="18"/>
      <c r="G306" s="18"/>
      <c r="H306" s="19" t="s">
        <v>13</v>
      </c>
      <c r="I306" s="18" t="s">
        <v>14</v>
      </c>
      <c r="J306" s="18" t="s">
        <v>40</v>
      </c>
      <c r="K306" s="30" t="s">
        <v>562</v>
      </c>
      <c r="L306" s="18">
        <v>106</v>
      </c>
      <c r="M306" s="28" t="s">
        <v>92</v>
      </c>
      <c r="N306" s="20" t="s">
        <v>61</v>
      </c>
      <c r="O306" s="33"/>
      <c r="P306" s="20"/>
      <c r="Q306" s="20"/>
    </row>
    <row r="307" spans="1:17" ht="19.25" customHeight="1">
      <c r="A307" s="78" t="s">
        <v>576</v>
      </c>
      <c r="B307" s="18"/>
      <c r="C307" s="18"/>
      <c r="D307" s="18"/>
      <c r="E307" s="18" t="s">
        <v>728</v>
      </c>
      <c r="F307" s="18"/>
      <c r="G307" s="18"/>
      <c r="H307" s="19" t="s">
        <v>13</v>
      </c>
      <c r="I307" s="18" t="s">
        <v>23</v>
      </c>
      <c r="J307" s="18" t="s">
        <v>43</v>
      </c>
      <c r="K307" s="30" t="s">
        <v>78</v>
      </c>
      <c r="L307" s="18">
        <v>106</v>
      </c>
      <c r="M307" s="28" t="s">
        <v>92</v>
      </c>
      <c r="N307" s="20" t="s">
        <v>62</v>
      </c>
      <c r="O307" s="20"/>
      <c r="P307" s="20"/>
      <c r="Q307" s="20"/>
    </row>
    <row r="308" spans="1:17" ht="19.25" customHeight="1">
      <c r="A308" s="6"/>
      <c r="B308" s="6"/>
      <c r="C308" s="6" t="s">
        <v>575</v>
      </c>
      <c r="D308" s="6"/>
      <c r="E308" s="6" t="s">
        <v>15</v>
      </c>
      <c r="F308" s="6"/>
      <c r="G308" s="6"/>
      <c r="H308" s="5" t="s">
        <v>13</v>
      </c>
      <c r="I308" s="6" t="s">
        <v>14</v>
      </c>
      <c r="J308" s="6" t="s">
        <v>80</v>
      </c>
      <c r="K308" s="54" t="s">
        <v>78</v>
      </c>
      <c r="L308" s="6">
        <v>106</v>
      </c>
      <c r="M308" s="55" t="s">
        <v>92</v>
      </c>
      <c r="N308" s="56" t="s">
        <v>62</v>
      </c>
      <c r="O308" s="56"/>
      <c r="P308" s="56"/>
      <c r="Q308" s="56"/>
    </row>
    <row r="309" spans="1:17" ht="19.25" customHeight="1">
      <c r="A309" s="6"/>
      <c r="B309" s="6"/>
      <c r="C309" s="6" t="s">
        <v>340</v>
      </c>
      <c r="D309" s="6"/>
      <c r="E309" s="6"/>
      <c r="F309" s="6"/>
      <c r="G309" s="6"/>
      <c r="H309" s="5" t="s">
        <v>52</v>
      </c>
      <c r="I309" s="6" t="s">
        <v>374</v>
      </c>
      <c r="J309" s="6" t="s">
        <v>363</v>
      </c>
      <c r="K309" s="54" t="s">
        <v>359</v>
      </c>
      <c r="L309" s="6">
        <v>106</v>
      </c>
      <c r="M309" s="55" t="s">
        <v>563</v>
      </c>
      <c r="N309" s="56" t="s">
        <v>367</v>
      </c>
      <c r="O309" s="56"/>
      <c r="P309" s="56"/>
      <c r="Q309" s="56"/>
    </row>
    <row r="310" spans="1:17" ht="19.25" customHeight="1">
      <c r="A310" s="6"/>
      <c r="B310" s="6"/>
      <c r="C310" s="6" t="s">
        <v>614</v>
      </c>
      <c r="D310" s="6"/>
      <c r="E310" s="6"/>
      <c r="F310" s="6"/>
      <c r="G310" s="6"/>
      <c r="H310" s="5" t="s">
        <v>52</v>
      </c>
      <c r="I310" s="6" t="s">
        <v>374</v>
      </c>
      <c r="J310" s="6" t="s">
        <v>363</v>
      </c>
      <c r="K310" s="54" t="s">
        <v>359</v>
      </c>
      <c r="L310" s="6">
        <v>106</v>
      </c>
      <c r="M310" s="55" t="s">
        <v>563</v>
      </c>
      <c r="N310" s="56" t="s">
        <v>367</v>
      </c>
      <c r="O310" s="56"/>
      <c r="P310" s="56"/>
      <c r="Q310" s="56"/>
    </row>
    <row r="311" spans="1:17" ht="19.25" customHeight="1">
      <c r="A311" s="18"/>
      <c r="B311" s="18"/>
      <c r="C311" s="18" t="s">
        <v>634</v>
      </c>
      <c r="D311" s="18"/>
      <c r="E311" s="18" t="s">
        <v>636</v>
      </c>
      <c r="F311" s="18"/>
      <c r="G311" s="18"/>
      <c r="H311" s="19" t="s">
        <v>13</v>
      </c>
      <c r="I311" s="18" t="s">
        <v>14</v>
      </c>
      <c r="J311" s="18" t="s">
        <v>40</v>
      </c>
      <c r="K311" s="30" t="s">
        <v>562</v>
      </c>
      <c r="L311" s="18">
        <v>106</v>
      </c>
      <c r="M311" s="28" t="s">
        <v>20</v>
      </c>
      <c r="N311" s="20" t="s">
        <v>635</v>
      </c>
      <c r="O311" s="33"/>
      <c r="P311" s="20"/>
      <c r="Q311" s="20"/>
    </row>
    <row r="312" spans="1:17" ht="19.25" customHeight="1">
      <c r="A312" s="6"/>
      <c r="B312" s="6"/>
      <c r="C312" s="6" t="s">
        <v>336</v>
      </c>
      <c r="D312" s="6"/>
      <c r="E312" s="6"/>
      <c r="F312" s="6"/>
      <c r="G312" s="6"/>
      <c r="H312" s="5" t="s">
        <v>52</v>
      </c>
      <c r="I312" s="6" t="s">
        <v>374</v>
      </c>
      <c r="J312" s="6" t="s">
        <v>368</v>
      </c>
      <c r="K312" s="54" t="s">
        <v>562</v>
      </c>
      <c r="L312" s="6">
        <v>106</v>
      </c>
      <c r="M312" s="55" t="s">
        <v>563</v>
      </c>
      <c r="N312" s="56" t="s">
        <v>367</v>
      </c>
      <c r="O312" s="56"/>
      <c r="P312" s="56"/>
      <c r="Q312" s="56"/>
    </row>
    <row r="313" spans="1:17" ht="19.25" customHeight="1">
      <c r="A313" s="6"/>
      <c r="B313" s="6"/>
      <c r="C313" s="6" t="s">
        <v>337</v>
      </c>
      <c r="D313" s="6"/>
      <c r="E313" s="6"/>
      <c r="F313" s="6"/>
      <c r="G313" s="6"/>
      <c r="H313" s="5" t="s">
        <v>52</v>
      </c>
      <c r="I313" s="6" t="s">
        <v>374</v>
      </c>
      <c r="J313" s="6" t="s">
        <v>368</v>
      </c>
      <c r="K313" s="54" t="s">
        <v>562</v>
      </c>
      <c r="L313" s="6">
        <v>106</v>
      </c>
      <c r="M313" s="55" t="s">
        <v>564</v>
      </c>
      <c r="N313" s="56" t="s">
        <v>367</v>
      </c>
      <c r="O313" s="56"/>
      <c r="P313" s="56"/>
      <c r="Q313" s="56"/>
    </row>
    <row r="314" spans="1:17" ht="19.25" customHeight="1">
      <c r="A314" s="78" t="s">
        <v>656</v>
      </c>
      <c r="B314" s="18"/>
      <c r="C314" s="18" t="s">
        <v>876</v>
      </c>
      <c r="D314" s="18"/>
      <c r="E314" s="18" t="s">
        <v>16</v>
      </c>
      <c r="F314" s="18"/>
      <c r="G314" s="18"/>
      <c r="H314" s="19" t="s">
        <v>13</v>
      </c>
      <c r="I314" s="18" t="s">
        <v>14</v>
      </c>
      <c r="J314" s="18" t="s">
        <v>80</v>
      </c>
      <c r="K314" s="30" t="s">
        <v>78</v>
      </c>
      <c r="L314" s="18">
        <v>106</v>
      </c>
      <c r="M314" s="28" t="s">
        <v>92</v>
      </c>
      <c r="N314" s="20" t="s">
        <v>63</v>
      </c>
      <c r="O314" s="20"/>
      <c r="P314" s="20"/>
      <c r="Q314" s="20"/>
    </row>
    <row r="315" spans="1:17" ht="19.25" customHeight="1">
      <c r="A315" s="6"/>
      <c r="B315" s="6"/>
      <c r="C315" s="6" t="s">
        <v>615</v>
      </c>
      <c r="D315" s="6"/>
      <c r="E315" s="6"/>
      <c r="F315" s="6"/>
      <c r="G315" s="6"/>
      <c r="H315" s="5" t="s">
        <v>52</v>
      </c>
      <c r="I315" s="6" t="s">
        <v>374</v>
      </c>
      <c r="J315" s="6" t="s">
        <v>363</v>
      </c>
      <c r="K315" s="54" t="s">
        <v>359</v>
      </c>
      <c r="L315" s="6">
        <v>106</v>
      </c>
      <c r="M315" s="55" t="s">
        <v>563</v>
      </c>
      <c r="N315" s="56" t="s">
        <v>369</v>
      </c>
      <c r="O315" s="56"/>
      <c r="P315" s="56"/>
      <c r="Q315" s="56"/>
    </row>
    <row r="316" spans="1:17" ht="19.25" customHeight="1">
      <c r="A316" s="6"/>
      <c r="B316" s="6"/>
      <c r="C316" s="6" t="s">
        <v>780</v>
      </c>
      <c r="D316" s="53"/>
      <c r="E316" s="6"/>
      <c r="F316" s="6"/>
      <c r="G316" s="6"/>
      <c r="H316" s="5" t="s">
        <v>52</v>
      </c>
      <c r="I316" s="4" t="s">
        <v>789</v>
      </c>
      <c r="J316" s="6" t="s">
        <v>782</v>
      </c>
      <c r="K316" s="54" t="str">
        <f>VLOOKUP(J316,材質!A:B,2,0)</f>
        <v xml:space="preserve">-55 to 105℃  </v>
      </c>
      <c r="L316" s="6">
        <v>106</v>
      </c>
      <c r="M316" s="55" t="s">
        <v>92</v>
      </c>
      <c r="N316" s="56" t="s">
        <v>786</v>
      </c>
      <c r="O316" s="57"/>
      <c r="P316" s="56"/>
      <c r="Q316" s="53"/>
    </row>
    <row r="317" spans="1:17" ht="19.25" customHeight="1">
      <c r="A317" s="6"/>
      <c r="B317" s="6"/>
      <c r="C317" s="6" t="s">
        <v>338</v>
      </c>
      <c r="D317" s="6"/>
      <c r="E317" s="6"/>
      <c r="F317" s="6"/>
      <c r="G317" s="6"/>
      <c r="H317" s="5" t="s">
        <v>52</v>
      </c>
      <c r="I317" s="6" t="s">
        <v>374</v>
      </c>
      <c r="J317" s="6" t="s">
        <v>368</v>
      </c>
      <c r="K317" s="54" t="s">
        <v>562</v>
      </c>
      <c r="L317" s="6">
        <v>106</v>
      </c>
      <c r="M317" s="55" t="s">
        <v>563</v>
      </c>
      <c r="N317" s="56" t="s">
        <v>369</v>
      </c>
      <c r="O317" s="56"/>
      <c r="P317" s="56"/>
      <c r="Q317" s="56"/>
    </row>
    <row r="318" spans="1:17" ht="19.25" customHeight="1">
      <c r="A318" s="6"/>
      <c r="B318" s="6"/>
      <c r="C318" s="6" t="s">
        <v>616</v>
      </c>
      <c r="D318" s="6"/>
      <c r="E318" s="6"/>
      <c r="F318" s="6"/>
      <c r="G318" s="6"/>
      <c r="H318" s="5" t="s">
        <v>52</v>
      </c>
      <c r="I318" s="6" t="s">
        <v>374</v>
      </c>
      <c r="J318" s="6" t="s">
        <v>363</v>
      </c>
      <c r="K318" s="54" t="s">
        <v>359</v>
      </c>
      <c r="L318" s="6">
        <v>106</v>
      </c>
      <c r="M318" s="55" t="s">
        <v>564</v>
      </c>
      <c r="N318" s="56" t="s">
        <v>369</v>
      </c>
      <c r="O318" s="56"/>
      <c r="P318" s="56"/>
      <c r="Q318" s="56"/>
    </row>
    <row r="319" spans="1:17" ht="19.25" customHeight="1">
      <c r="A319" s="6"/>
      <c r="B319" s="6"/>
      <c r="C319" s="6" t="s">
        <v>339</v>
      </c>
      <c r="D319" s="6"/>
      <c r="E319" s="6"/>
      <c r="F319" s="6"/>
      <c r="G319" s="6"/>
      <c r="H319" s="5" t="s">
        <v>52</v>
      </c>
      <c r="I319" s="6" t="s">
        <v>374</v>
      </c>
      <c r="J319" s="6" t="s">
        <v>368</v>
      </c>
      <c r="K319" s="54" t="s">
        <v>562</v>
      </c>
      <c r="L319" s="6">
        <v>106</v>
      </c>
      <c r="M319" s="55" t="s">
        <v>564</v>
      </c>
      <c r="N319" s="56" t="s">
        <v>369</v>
      </c>
      <c r="O319" s="56"/>
      <c r="P319" s="56"/>
      <c r="Q319" s="56"/>
    </row>
    <row r="320" spans="1:17" ht="19.25" customHeight="1">
      <c r="A320" s="6"/>
      <c r="B320" s="6"/>
      <c r="C320" s="6" t="s">
        <v>343</v>
      </c>
      <c r="D320" s="6"/>
      <c r="E320" s="6"/>
      <c r="F320" s="6"/>
      <c r="G320" s="6"/>
      <c r="H320" s="5" t="s">
        <v>52</v>
      </c>
      <c r="I320" s="6" t="s">
        <v>374</v>
      </c>
      <c r="J320" s="6" t="s">
        <v>141</v>
      </c>
      <c r="K320" s="54" t="s">
        <v>78</v>
      </c>
      <c r="L320" s="6">
        <v>106</v>
      </c>
      <c r="M320" s="55" t="s">
        <v>564</v>
      </c>
      <c r="N320" s="56" t="s">
        <v>370</v>
      </c>
      <c r="O320" s="56"/>
      <c r="P320" s="56"/>
      <c r="Q320" s="56"/>
    </row>
    <row r="321" spans="1:17" ht="19.25" customHeight="1">
      <c r="A321" s="6"/>
      <c r="B321" s="6"/>
      <c r="C321" s="6" t="s">
        <v>341</v>
      </c>
      <c r="D321" s="6"/>
      <c r="E321" s="6"/>
      <c r="F321" s="6"/>
      <c r="G321" s="6"/>
      <c r="H321" s="5" t="s">
        <v>52</v>
      </c>
      <c r="I321" s="6" t="s">
        <v>374</v>
      </c>
      <c r="J321" s="6" t="s">
        <v>363</v>
      </c>
      <c r="K321" s="54" t="s">
        <v>359</v>
      </c>
      <c r="L321" s="6">
        <v>106</v>
      </c>
      <c r="M321" s="55" t="s">
        <v>564</v>
      </c>
      <c r="N321" s="56" t="s">
        <v>370</v>
      </c>
      <c r="O321" s="56"/>
      <c r="P321" s="56"/>
      <c r="Q321" s="56"/>
    </row>
    <row r="322" spans="1:17" ht="19.25" customHeight="1">
      <c r="A322" s="6"/>
      <c r="B322" s="6"/>
      <c r="C322" s="6" t="s">
        <v>800</v>
      </c>
      <c r="D322" s="6"/>
      <c r="E322" s="6"/>
      <c r="F322" s="6"/>
      <c r="G322" s="6"/>
      <c r="H322" s="5" t="s">
        <v>52</v>
      </c>
      <c r="I322" s="6" t="s">
        <v>374</v>
      </c>
      <c r="J322" s="6" t="s">
        <v>141</v>
      </c>
      <c r="K322" s="54" t="s">
        <v>78</v>
      </c>
      <c r="L322" s="6">
        <v>106</v>
      </c>
      <c r="M322" s="55" t="s">
        <v>563</v>
      </c>
      <c r="N322" s="56" t="s">
        <v>375</v>
      </c>
      <c r="O322" s="56"/>
      <c r="P322" s="56"/>
      <c r="Q322" s="56"/>
    </row>
    <row r="323" spans="1:17" ht="19.25" customHeight="1">
      <c r="A323" s="6"/>
      <c r="B323" s="6"/>
      <c r="C323" s="6" t="s">
        <v>342</v>
      </c>
      <c r="D323" s="6"/>
      <c r="E323" s="6"/>
      <c r="F323" s="6"/>
      <c r="G323" s="6"/>
      <c r="H323" s="5" t="s">
        <v>52</v>
      </c>
      <c r="I323" s="6" t="s">
        <v>374</v>
      </c>
      <c r="J323" s="6" t="s">
        <v>141</v>
      </c>
      <c r="K323" s="54" t="s">
        <v>78</v>
      </c>
      <c r="L323" s="6">
        <v>106</v>
      </c>
      <c r="M323" s="55" t="s">
        <v>564</v>
      </c>
      <c r="N323" s="56" t="s">
        <v>375</v>
      </c>
      <c r="O323" s="56"/>
      <c r="P323" s="56"/>
      <c r="Q323" s="56"/>
    </row>
    <row r="324" spans="1:17" ht="19.25" customHeight="1">
      <c r="A324" s="6"/>
      <c r="B324" s="6"/>
      <c r="C324" s="6" t="s">
        <v>600</v>
      </c>
      <c r="D324" s="6"/>
      <c r="E324" s="6" t="s">
        <v>739</v>
      </c>
      <c r="F324" s="6"/>
      <c r="G324" s="6"/>
      <c r="H324" s="5" t="s">
        <v>13</v>
      </c>
      <c r="I324" s="6" t="s">
        <v>14</v>
      </c>
      <c r="J324" s="6" t="s">
        <v>40</v>
      </c>
      <c r="K324" s="54" t="s">
        <v>562</v>
      </c>
      <c r="L324" s="6">
        <v>106</v>
      </c>
      <c r="M324" s="55" t="s">
        <v>92</v>
      </c>
      <c r="N324" s="56" t="s">
        <v>65</v>
      </c>
      <c r="O324" s="68"/>
      <c r="P324" s="56"/>
      <c r="Q324" s="56"/>
    </row>
    <row r="325" spans="1:17" ht="19.25" customHeight="1">
      <c r="A325" s="6"/>
      <c r="B325" s="6"/>
      <c r="C325" s="6" t="s">
        <v>505</v>
      </c>
      <c r="D325" s="53"/>
      <c r="E325" s="6"/>
      <c r="F325" s="6"/>
      <c r="G325" s="6"/>
      <c r="H325" s="5" t="s">
        <v>52</v>
      </c>
      <c r="I325" s="4" t="s">
        <v>374</v>
      </c>
      <c r="J325" s="6" t="s">
        <v>368</v>
      </c>
      <c r="K325" s="54" t="s">
        <v>562</v>
      </c>
      <c r="L325" s="6">
        <v>106</v>
      </c>
      <c r="M325" s="55" t="s">
        <v>92</v>
      </c>
      <c r="N325" s="56" t="s">
        <v>361</v>
      </c>
      <c r="O325" s="57"/>
      <c r="P325" s="56"/>
      <c r="Q325" s="53"/>
    </row>
    <row r="326" spans="1:17" ht="19.25" customHeight="1">
      <c r="A326" s="6"/>
      <c r="B326" s="6"/>
      <c r="C326" s="6" t="s">
        <v>690</v>
      </c>
      <c r="D326" s="53"/>
      <c r="E326" s="6"/>
      <c r="F326" s="6"/>
      <c r="G326" s="6"/>
      <c r="H326" s="5" t="s">
        <v>52</v>
      </c>
      <c r="I326" s="6" t="s">
        <v>374</v>
      </c>
      <c r="J326" s="6" t="s">
        <v>141</v>
      </c>
      <c r="K326" s="54" t="s">
        <v>78</v>
      </c>
      <c r="L326" s="6">
        <v>107</v>
      </c>
      <c r="M326" s="55" t="s">
        <v>39</v>
      </c>
      <c r="N326" s="56" t="s">
        <v>691</v>
      </c>
      <c r="O326" s="57"/>
      <c r="P326" s="56"/>
      <c r="Q326" s="53"/>
    </row>
    <row r="327" spans="1:17" ht="19.25" customHeight="1">
      <c r="A327" s="6"/>
      <c r="B327" s="6"/>
      <c r="C327" s="6" t="s">
        <v>506</v>
      </c>
      <c r="D327" s="53"/>
      <c r="E327" s="6"/>
      <c r="F327" s="6"/>
      <c r="G327" s="6"/>
      <c r="H327" s="5" t="s">
        <v>52</v>
      </c>
      <c r="I327" s="4" t="s">
        <v>374</v>
      </c>
      <c r="J327" s="6" t="s">
        <v>368</v>
      </c>
      <c r="K327" s="54" t="s">
        <v>562</v>
      </c>
      <c r="L327" s="6">
        <v>225</v>
      </c>
      <c r="M327" s="55" t="s">
        <v>92</v>
      </c>
      <c r="N327" s="56" t="s">
        <v>364</v>
      </c>
      <c r="O327" s="57"/>
      <c r="P327" s="56"/>
      <c r="Q327" s="53"/>
    </row>
    <row r="328" spans="1:17" ht="19.25" customHeight="1">
      <c r="A328" s="18"/>
      <c r="B328" s="18"/>
      <c r="C328" s="74" t="s">
        <v>164</v>
      </c>
      <c r="D328" s="18"/>
      <c r="E328" s="18" t="s">
        <v>163</v>
      </c>
      <c r="F328" s="18"/>
      <c r="G328" s="18"/>
      <c r="H328" s="19" t="s">
        <v>13</v>
      </c>
      <c r="I328" s="18" t="s">
        <v>14</v>
      </c>
      <c r="J328" s="18" t="s">
        <v>161</v>
      </c>
      <c r="K328" s="30" t="s">
        <v>562</v>
      </c>
      <c r="L328" s="18">
        <v>225</v>
      </c>
      <c r="M328" s="28" t="s">
        <v>563</v>
      </c>
      <c r="N328" s="20" t="s">
        <v>62</v>
      </c>
      <c r="O328" s="70">
        <v>1.0999999999999999E-2</v>
      </c>
      <c r="P328" s="20"/>
      <c r="Q328" s="20"/>
    </row>
    <row r="329" spans="1:17" ht="19.25" customHeight="1">
      <c r="A329" s="6"/>
      <c r="B329" s="6"/>
      <c r="C329" s="6" t="s">
        <v>507</v>
      </c>
      <c r="D329" s="53"/>
      <c r="E329" s="6"/>
      <c r="F329" s="6"/>
      <c r="G329" s="6"/>
      <c r="H329" s="5" t="s">
        <v>52</v>
      </c>
      <c r="I329" s="4" t="s">
        <v>374</v>
      </c>
      <c r="J329" s="6" t="s">
        <v>368</v>
      </c>
      <c r="K329" s="54" t="s">
        <v>562</v>
      </c>
      <c r="L329" s="6">
        <v>225</v>
      </c>
      <c r="M329" s="55" t="s">
        <v>92</v>
      </c>
      <c r="N329" s="56" t="s">
        <v>367</v>
      </c>
      <c r="O329" s="57"/>
      <c r="P329" s="56"/>
      <c r="Q329" s="53"/>
    </row>
    <row r="330" spans="1:17" ht="19.25" customHeight="1">
      <c r="A330" s="18"/>
      <c r="B330" s="18"/>
      <c r="C330" s="74" t="s">
        <v>170</v>
      </c>
      <c r="D330" s="18"/>
      <c r="E330" s="18" t="s">
        <v>32</v>
      </c>
      <c r="F330" s="18"/>
      <c r="G330" s="18"/>
      <c r="H330" s="19" t="s">
        <v>13</v>
      </c>
      <c r="I330" s="18" t="s">
        <v>27</v>
      </c>
      <c r="J330" s="18" t="s">
        <v>40</v>
      </c>
      <c r="K330" s="30" t="s">
        <v>562</v>
      </c>
      <c r="L330" s="18">
        <v>225</v>
      </c>
      <c r="M330" s="28" t="s">
        <v>563</v>
      </c>
      <c r="N330" s="20" t="s">
        <v>63</v>
      </c>
      <c r="O330" s="20"/>
      <c r="P330" s="20"/>
      <c r="Q330" s="20"/>
    </row>
    <row r="331" spans="1:17" ht="19.25" customHeight="1">
      <c r="A331" s="6"/>
      <c r="B331" s="6"/>
      <c r="C331" s="6" t="s">
        <v>509</v>
      </c>
      <c r="D331" s="53"/>
      <c r="E331" s="6"/>
      <c r="F331" s="6"/>
      <c r="G331" s="6"/>
      <c r="H331" s="5" t="s">
        <v>52</v>
      </c>
      <c r="I331" s="4" t="s">
        <v>374</v>
      </c>
      <c r="J331" s="6" t="s">
        <v>368</v>
      </c>
      <c r="K331" s="54" t="s">
        <v>562</v>
      </c>
      <c r="L331" s="6">
        <v>225</v>
      </c>
      <c r="M331" s="55" t="s">
        <v>92</v>
      </c>
      <c r="N331" s="56" t="s">
        <v>369</v>
      </c>
      <c r="O331" s="57"/>
      <c r="P331" s="56"/>
      <c r="Q331" s="53"/>
    </row>
    <row r="332" spans="1:17" ht="19.25" customHeight="1">
      <c r="A332" s="6"/>
      <c r="B332" s="6"/>
      <c r="C332" s="6" t="s">
        <v>510</v>
      </c>
      <c r="D332" s="53"/>
      <c r="E332" s="6"/>
      <c r="F332" s="6"/>
      <c r="G332" s="6"/>
      <c r="H332" s="5" t="s">
        <v>52</v>
      </c>
      <c r="I332" s="4" t="s">
        <v>374</v>
      </c>
      <c r="J332" s="6" t="s">
        <v>368</v>
      </c>
      <c r="K332" s="54" t="s">
        <v>562</v>
      </c>
      <c r="L332" s="6">
        <v>225</v>
      </c>
      <c r="M332" s="55" t="s">
        <v>92</v>
      </c>
      <c r="N332" s="56" t="s">
        <v>369</v>
      </c>
      <c r="O332" s="57"/>
      <c r="P332" s="56"/>
      <c r="Q332" s="53"/>
    </row>
    <row r="333" spans="1:17" ht="19.25" customHeight="1">
      <c r="A333" s="18" t="s">
        <v>380</v>
      </c>
      <c r="B333" s="18"/>
      <c r="C333" s="18" t="s">
        <v>794</v>
      </c>
      <c r="D333" s="18"/>
      <c r="E333" s="18" t="s">
        <v>710</v>
      </c>
      <c r="F333" s="18"/>
      <c r="G333" s="18"/>
      <c r="H333" s="19" t="s">
        <v>13</v>
      </c>
      <c r="I333" s="18" t="s">
        <v>23</v>
      </c>
      <c r="J333" s="18" t="s">
        <v>43</v>
      </c>
      <c r="K333" s="30" t="s">
        <v>78</v>
      </c>
      <c r="L333" s="18">
        <v>226</v>
      </c>
      <c r="M333" s="28" t="s">
        <v>44</v>
      </c>
      <c r="N333" s="20" t="s">
        <v>61</v>
      </c>
      <c r="O333" s="20"/>
      <c r="P333" s="20"/>
      <c r="Q333" s="20"/>
    </row>
    <row r="334" spans="1:17" ht="19.25" customHeight="1">
      <c r="A334" s="6"/>
      <c r="B334" s="6"/>
      <c r="C334" s="6" t="s">
        <v>747</v>
      </c>
      <c r="D334" s="6"/>
      <c r="E334" s="6" t="s">
        <v>746</v>
      </c>
      <c r="F334" s="6"/>
      <c r="G334" s="6"/>
      <c r="H334" s="5" t="s">
        <v>13</v>
      </c>
      <c r="I334" s="6" t="s">
        <v>374</v>
      </c>
      <c r="J334" s="6" t="s">
        <v>43</v>
      </c>
      <c r="K334" s="54" t="s">
        <v>78</v>
      </c>
      <c r="L334" s="6">
        <v>226</v>
      </c>
      <c r="M334" s="55" t="s">
        <v>44</v>
      </c>
      <c r="N334" s="56" t="s">
        <v>61</v>
      </c>
      <c r="O334" s="56"/>
      <c r="P334" s="56"/>
      <c r="Q334" s="56"/>
    </row>
    <row r="335" spans="1:17" ht="19.25" customHeight="1">
      <c r="A335" s="6"/>
      <c r="B335" s="6"/>
      <c r="C335" s="6" t="s">
        <v>344</v>
      </c>
      <c r="D335" s="6"/>
      <c r="E335" s="6"/>
      <c r="F335" s="6"/>
      <c r="G335" s="6"/>
      <c r="H335" s="5" t="s">
        <v>52</v>
      </c>
      <c r="I335" s="6" t="s">
        <v>374</v>
      </c>
      <c r="J335" s="6" t="s">
        <v>363</v>
      </c>
      <c r="K335" s="54" t="s">
        <v>359</v>
      </c>
      <c r="L335" s="6">
        <v>226</v>
      </c>
      <c r="M335" s="55" t="s">
        <v>564</v>
      </c>
      <c r="N335" s="56" t="s">
        <v>364</v>
      </c>
      <c r="O335" s="56"/>
      <c r="P335" s="56"/>
      <c r="Q335" s="56"/>
    </row>
    <row r="336" spans="1:17" ht="19.25" customHeight="1">
      <c r="A336" s="6"/>
      <c r="B336" s="6"/>
      <c r="C336" s="6" t="s">
        <v>381</v>
      </c>
      <c r="D336" s="6"/>
      <c r="E336" s="6"/>
      <c r="F336" s="6"/>
      <c r="G336" s="6"/>
      <c r="H336" s="5" t="s">
        <v>52</v>
      </c>
      <c r="I336" s="6" t="s">
        <v>374</v>
      </c>
      <c r="J336" s="6" t="s">
        <v>382</v>
      </c>
      <c r="K336" s="54" t="s">
        <v>562</v>
      </c>
      <c r="L336" s="6">
        <v>226</v>
      </c>
      <c r="M336" s="55" t="s">
        <v>564</v>
      </c>
      <c r="N336" s="56" t="s">
        <v>364</v>
      </c>
      <c r="O336" s="56"/>
      <c r="P336" s="56"/>
      <c r="Q336" s="56"/>
    </row>
    <row r="337" spans="1:17" ht="19.25" customHeight="1">
      <c r="A337" s="6"/>
      <c r="B337" s="6"/>
      <c r="C337" s="6" t="s">
        <v>348</v>
      </c>
      <c r="D337" s="6"/>
      <c r="E337" s="6"/>
      <c r="F337" s="6"/>
      <c r="G337" s="6"/>
      <c r="H337" s="5" t="s">
        <v>52</v>
      </c>
      <c r="I337" s="6" t="s">
        <v>374</v>
      </c>
      <c r="J337" s="6"/>
      <c r="K337" s="54" t="s">
        <v>78</v>
      </c>
      <c r="L337" s="6">
        <v>226</v>
      </c>
      <c r="M337" s="55" t="s">
        <v>564</v>
      </c>
      <c r="N337" s="56" t="s">
        <v>364</v>
      </c>
      <c r="O337" s="56"/>
      <c r="P337" s="56"/>
      <c r="Q337" s="56"/>
    </row>
    <row r="338" spans="1:17" ht="19.25" customHeight="1">
      <c r="A338" s="6"/>
      <c r="B338" s="6"/>
      <c r="C338" s="6" t="s">
        <v>345</v>
      </c>
      <c r="D338" s="6"/>
      <c r="E338" s="6"/>
      <c r="F338" s="6"/>
      <c r="G338" s="6"/>
      <c r="H338" s="5" t="s">
        <v>52</v>
      </c>
      <c r="I338" s="6" t="s">
        <v>374</v>
      </c>
      <c r="J338" s="6" t="s">
        <v>363</v>
      </c>
      <c r="K338" s="54" t="s">
        <v>359</v>
      </c>
      <c r="L338" s="6">
        <v>226</v>
      </c>
      <c r="M338" s="55" t="s">
        <v>564</v>
      </c>
      <c r="N338" s="56" t="s">
        <v>367</v>
      </c>
      <c r="O338" s="56"/>
      <c r="P338" s="56"/>
      <c r="Q338" s="56"/>
    </row>
    <row r="339" spans="1:17" ht="19.25" customHeight="1">
      <c r="A339" s="6"/>
      <c r="B339" s="6"/>
      <c r="C339" s="6" t="s">
        <v>781</v>
      </c>
      <c r="D339" s="53"/>
      <c r="E339" s="6"/>
      <c r="F339" s="6"/>
      <c r="G339" s="6"/>
      <c r="H339" s="5" t="s">
        <v>52</v>
      </c>
      <c r="I339" s="4" t="s">
        <v>789</v>
      </c>
      <c r="J339" s="6" t="s">
        <v>782</v>
      </c>
      <c r="K339" s="54" t="str">
        <f>VLOOKUP(J339,材質!A:B,2,0)</f>
        <v xml:space="preserve">-55 to 105℃  </v>
      </c>
      <c r="L339" s="6">
        <v>226</v>
      </c>
      <c r="M339" s="55" t="s">
        <v>44</v>
      </c>
      <c r="N339" s="56" t="s">
        <v>787</v>
      </c>
      <c r="O339" s="57"/>
      <c r="P339" s="56"/>
      <c r="Q339" s="53"/>
    </row>
    <row r="340" spans="1:17" ht="19.25" customHeight="1">
      <c r="A340" s="6"/>
      <c r="B340" s="6"/>
      <c r="C340" s="6" t="s">
        <v>781</v>
      </c>
      <c r="D340" s="53"/>
      <c r="E340" s="6"/>
      <c r="F340" s="6"/>
      <c r="G340" s="6"/>
      <c r="H340" s="5" t="s">
        <v>52</v>
      </c>
      <c r="I340" s="4" t="s">
        <v>789</v>
      </c>
      <c r="J340" s="6" t="s">
        <v>782</v>
      </c>
      <c r="K340" s="54" t="str">
        <f>VLOOKUP(J340,材質!A:B,2,0)</f>
        <v xml:space="preserve">-55 to 105℃  </v>
      </c>
      <c r="L340" s="6">
        <v>226</v>
      </c>
      <c r="M340" s="55" t="s">
        <v>44</v>
      </c>
      <c r="N340" s="56" t="s">
        <v>787</v>
      </c>
      <c r="O340" s="57"/>
      <c r="P340" s="56"/>
      <c r="Q340" s="53"/>
    </row>
    <row r="341" spans="1:17" ht="19.25" customHeight="1">
      <c r="A341" s="6" t="s">
        <v>829</v>
      </c>
      <c r="B341" s="6"/>
      <c r="C341" s="6" t="s">
        <v>828</v>
      </c>
      <c r="D341" s="6"/>
      <c r="E341" s="6" t="s">
        <v>827</v>
      </c>
      <c r="F341" s="6"/>
      <c r="G341" s="6"/>
      <c r="H341" s="5" t="s">
        <v>13</v>
      </c>
      <c r="I341" s="6" t="s">
        <v>14</v>
      </c>
      <c r="J341" s="6" t="s">
        <v>43</v>
      </c>
      <c r="K341" s="54" t="s">
        <v>78</v>
      </c>
      <c r="L341" s="6">
        <v>226</v>
      </c>
      <c r="M341" s="55" t="s">
        <v>564</v>
      </c>
      <c r="N341" s="56" t="s">
        <v>63</v>
      </c>
      <c r="O341" s="56"/>
      <c r="P341" s="56"/>
      <c r="Q341" s="56"/>
    </row>
    <row r="342" spans="1:17" ht="19.25" customHeight="1">
      <c r="A342" s="6"/>
      <c r="B342" s="6"/>
      <c r="C342" s="6" t="s">
        <v>694</v>
      </c>
      <c r="D342" s="53"/>
      <c r="E342" s="6"/>
      <c r="F342" s="6"/>
      <c r="G342" s="6"/>
      <c r="H342" s="5" t="s">
        <v>13</v>
      </c>
      <c r="I342" s="6" t="s">
        <v>14</v>
      </c>
      <c r="J342" s="6" t="s">
        <v>43</v>
      </c>
      <c r="K342" s="54" t="s">
        <v>78</v>
      </c>
      <c r="L342" s="6">
        <v>226</v>
      </c>
      <c r="M342" s="55" t="s">
        <v>39</v>
      </c>
      <c r="N342" s="56" t="s">
        <v>63</v>
      </c>
      <c r="O342" s="57"/>
      <c r="P342" s="56"/>
      <c r="Q342" s="53"/>
    </row>
    <row r="343" spans="1:17" ht="19.25" customHeight="1">
      <c r="A343" s="6"/>
      <c r="B343" s="6"/>
      <c r="C343" s="6" t="s">
        <v>347</v>
      </c>
      <c r="D343" s="6"/>
      <c r="E343" s="6"/>
      <c r="F343" s="6"/>
      <c r="G343" s="6"/>
      <c r="H343" s="5" t="s">
        <v>52</v>
      </c>
      <c r="I343" s="6" t="s">
        <v>374</v>
      </c>
      <c r="J343" s="6" t="s">
        <v>376</v>
      </c>
      <c r="K343" s="54" t="s">
        <v>562</v>
      </c>
      <c r="L343" s="6">
        <v>226</v>
      </c>
      <c r="M343" s="55" t="s">
        <v>564</v>
      </c>
      <c r="N343" s="56" t="s">
        <v>360</v>
      </c>
      <c r="O343" s="56"/>
      <c r="P343" s="56"/>
      <c r="Q343" s="56"/>
    </row>
    <row r="344" spans="1:17" ht="19.25" customHeight="1">
      <c r="A344" s="6" t="s">
        <v>753</v>
      </c>
      <c r="B344" s="6"/>
      <c r="C344" s="6" t="s">
        <v>697</v>
      </c>
      <c r="D344" s="6"/>
      <c r="E344" s="6" t="s">
        <v>561</v>
      </c>
      <c r="F344" s="6"/>
      <c r="G344" s="62" t="s">
        <v>629</v>
      </c>
      <c r="H344" s="5" t="s">
        <v>52</v>
      </c>
      <c r="I344" s="6" t="s">
        <v>374</v>
      </c>
      <c r="J344" s="6" t="s">
        <v>541</v>
      </c>
      <c r="K344" s="54" t="s">
        <v>78</v>
      </c>
      <c r="L344" s="6">
        <v>226</v>
      </c>
      <c r="M344" s="55" t="s">
        <v>44</v>
      </c>
      <c r="N344" s="56" t="s">
        <v>361</v>
      </c>
      <c r="O344" s="63"/>
      <c r="P344" s="56"/>
      <c r="Q344" s="56"/>
    </row>
    <row r="345" spans="1:17" ht="19.25" customHeight="1">
      <c r="A345" s="6"/>
      <c r="B345" s="6"/>
      <c r="C345" s="6" t="s">
        <v>346</v>
      </c>
      <c r="D345" s="6"/>
      <c r="E345" s="6"/>
      <c r="F345" s="6"/>
      <c r="G345" s="6"/>
      <c r="H345" s="5" t="s">
        <v>52</v>
      </c>
      <c r="I345" s="6" t="s">
        <v>374</v>
      </c>
      <c r="J345" s="6" t="s">
        <v>365</v>
      </c>
      <c r="K345" s="54" t="s">
        <v>562</v>
      </c>
      <c r="L345" s="6">
        <v>226</v>
      </c>
      <c r="M345" s="55" t="s">
        <v>564</v>
      </c>
      <c r="N345" s="56" t="s">
        <v>361</v>
      </c>
      <c r="O345" s="56"/>
      <c r="P345" s="56"/>
      <c r="Q345" s="56"/>
    </row>
    <row r="346" spans="1:17" ht="19.25" customHeight="1">
      <c r="A346" s="6"/>
      <c r="B346" s="6"/>
      <c r="C346" s="6" t="s">
        <v>504</v>
      </c>
      <c r="D346" s="53"/>
      <c r="E346" s="6"/>
      <c r="F346" s="6"/>
      <c r="G346" s="6"/>
      <c r="H346" s="5" t="s">
        <v>52</v>
      </c>
      <c r="I346" s="4" t="s">
        <v>374</v>
      </c>
      <c r="J346" s="6" t="s">
        <v>368</v>
      </c>
      <c r="K346" s="54" t="s">
        <v>562</v>
      </c>
      <c r="L346" s="6">
        <v>475</v>
      </c>
      <c r="M346" s="55" t="s">
        <v>92</v>
      </c>
      <c r="N346" s="56" t="s">
        <v>364</v>
      </c>
      <c r="O346" s="57"/>
      <c r="P346" s="56"/>
      <c r="Q346" s="53"/>
    </row>
    <row r="347" spans="1:17" ht="19.25" customHeight="1">
      <c r="A347" s="6"/>
      <c r="B347" s="6"/>
      <c r="C347" s="6" t="s">
        <v>508</v>
      </c>
      <c r="D347" s="53"/>
      <c r="E347" s="6"/>
      <c r="F347" s="6"/>
      <c r="G347" s="6"/>
      <c r="H347" s="5" t="s">
        <v>52</v>
      </c>
      <c r="I347" s="4" t="s">
        <v>374</v>
      </c>
      <c r="J347" s="6" t="s">
        <v>368</v>
      </c>
      <c r="K347" s="54" t="s">
        <v>562</v>
      </c>
      <c r="L347" s="6">
        <v>475</v>
      </c>
      <c r="M347" s="55" t="s">
        <v>92</v>
      </c>
      <c r="N347" s="56" t="s">
        <v>367</v>
      </c>
      <c r="O347" s="57"/>
      <c r="P347" s="56"/>
      <c r="Q347" s="53"/>
    </row>
    <row r="348" spans="1:17" ht="19.25" customHeight="1">
      <c r="A348" s="21"/>
      <c r="B348" s="18"/>
      <c r="C348" s="18" t="s">
        <v>795</v>
      </c>
      <c r="D348" s="18"/>
      <c r="E348" s="18" t="s">
        <v>17</v>
      </c>
      <c r="F348" s="18"/>
      <c r="G348" s="18"/>
      <c r="H348" s="19" t="s">
        <v>13</v>
      </c>
      <c r="I348" s="18" t="s">
        <v>14</v>
      </c>
      <c r="J348" s="18" t="s">
        <v>80</v>
      </c>
      <c r="K348" s="30" t="s">
        <v>78</v>
      </c>
      <c r="L348" s="18">
        <v>475</v>
      </c>
      <c r="M348" s="28" t="s">
        <v>563</v>
      </c>
      <c r="N348" s="20" t="s">
        <v>63</v>
      </c>
      <c r="O348" s="20"/>
      <c r="P348" s="20"/>
      <c r="Q348" s="20"/>
    </row>
    <row r="349" spans="1:17" ht="19.25" customHeight="1">
      <c r="A349" s="6"/>
      <c r="B349" s="6"/>
      <c r="C349" s="6" t="s">
        <v>699</v>
      </c>
      <c r="D349" s="53"/>
      <c r="E349" s="6" t="s">
        <v>729</v>
      </c>
      <c r="F349" s="6"/>
      <c r="G349" s="6"/>
      <c r="H349" s="5" t="s">
        <v>52</v>
      </c>
      <c r="I349" s="4" t="s">
        <v>377</v>
      </c>
      <c r="J349" s="6" t="s">
        <v>141</v>
      </c>
      <c r="K349" s="54" t="s">
        <v>78</v>
      </c>
      <c r="L349" s="6">
        <v>475</v>
      </c>
      <c r="M349" s="55" t="s">
        <v>92</v>
      </c>
      <c r="N349" s="56" t="s">
        <v>369</v>
      </c>
      <c r="O349" s="57"/>
      <c r="P349" s="56"/>
      <c r="Q349" s="53"/>
    </row>
    <row r="350" spans="1:17" ht="19.25" customHeight="1">
      <c r="A350" s="21" t="s">
        <v>398</v>
      </c>
      <c r="B350" s="18"/>
      <c r="C350" s="78" t="s">
        <v>596</v>
      </c>
      <c r="D350" s="18"/>
      <c r="E350" s="18" t="s">
        <v>597</v>
      </c>
      <c r="F350" s="18"/>
      <c r="G350" s="18"/>
      <c r="H350" s="19" t="s">
        <v>13</v>
      </c>
      <c r="I350" s="18" t="s">
        <v>14</v>
      </c>
      <c r="J350" s="18" t="s">
        <v>40</v>
      </c>
      <c r="K350" s="30" t="s">
        <v>562</v>
      </c>
      <c r="L350" s="18">
        <v>475</v>
      </c>
      <c r="M350" s="28" t="s">
        <v>20</v>
      </c>
      <c r="N350" s="20" t="s">
        <v>63</v>
      </c>
      <c r="O350" s="20"/>
      <c r="P350" s="20"/>
      <c r="Q350" s="20"/>
    </row>
    <row r="351" spans="1:17" ht="19.25" customHeight="1">
      <c r="A351" s="6"/>
      <c r="B351" s="6"/>
      <c r="C351" s="6" t="s">
        <v>701</v>
      </c>
      <c r="D351" s="6"/>
      <c r="E351" s="6" t="s">
        <v>597</v>
      </c>
      <c r="F351" s="6"/>
      <c r="G351" s="6"/>
      <c r="H351" s="5" t="s">
        <v>13</v>
      </c>
      <c r="I351" s="6" t="s">
        <v>14</v>
      </c>
      <c r="J351" s="6" t="s">
        <v>40</v>
      </c>
      <c r="K351" s="54" t="s">
        <v>562</v>
      </c>
      <c r="L351" s="6">
        <v>475</v>
      </c>
      <c r="M351" s="55" t="s">
        <v>20</v>
      </c>
      <c r="N351" s="56" t="s">
        <v>63</v>
      </c>
      <c r="O351" s="56"/>
      <c r="P351" s="56"/>
      <c r="Q351" s="56"/>
    </row>
    <row r="352" spans="1:17" ht="19.25" customHeight="1">
      <c r="A352" s="12"/>
      <c r="B352" s="12"/>
      <c r="C352" s="79" t="s">
        <v>115</v>
      </c>
      <c r="D352" s="12"/>
      <c r="E352" s="12" t="s">
        <v>116</v>
      </c>
      <c r="F352" s="12"/>
      <c r="G352" s="12"/>
      <c r="H352" s="13" t="s">
        <v>52</v>
      </c>
      <c r="I352" s="12" t="s">
        <v>114</v>
      </c>
      <c r="J352" s="14" t="s">
        <v>105</v>
      </c>
      <c r="K352" s="30" t="s">
        <v>78</v>
      </c>
      <c r="L352" s="12">
        <v>475</v>
      </c>
      <c r="M352" s="28" t="s">
        <v>92</v>
      </c>
      <c r="N352" s="16" t="s">
        <v>102</v>
      </c>
      <c r="O352" s="12"/>
      <c r="P352" s="12"/>
      <c r="Q352" s="12"/>
    </row>
    <row r="353" spans="1:17" ht="19.25" customHeight="1">
      <c r="A353" s="12" t="s">
        <v>626</v>
      </c>
      <c r="B353" s="12"/>
      <c r="C353" s="12" t="s">
        <v>117</v>
      </c>
      <c r="D353" s="12"/>
      <c r="E353" s="12"/>
      <c r="F353" s="12"/>
      <c r="G353" s="12"/>
      <c r="H353" s="13" t="s">
        <v>52</v>
      </c>
      <c r="I353" s="12" t="s">
        <v>114</v>
      </c>
      <c r="J353" s="14" t="s">
        <v>105</v>
      </c>
      <c r="K353" s="15" t="s">
        <v>78</v>
      </c>
      <c r="L353" s="12">
        <v>476</v>
      </c>
      <c r="M353" s="28" t="s">
        <v>564</v>
      </c>
      <c r="N353" s="16" t="s">
        <v>97</v>
      </c>
      <c r="O353" s="12"/>
      <c r="P353" s="12"/>
      <c r="Q353" s="12"/>
    </row>
    <row r="354" spans="1:17" ht="19.25" customHeight="1">
      <c r="A354" s="6"/>
      <c r="B354" s="6"/>
      <c r="C354" s="6" t="s">
        <v>349</v>
      </c>
      <c r="D354" s="6"/>
      <c r="E354" s="6"/>
      <c r="F354" s="6"/>
      <c r="G354" s="6"/>
      <c r="H354" s="5" t="s">
        <v>52</v>
      </c>
      <c r="I354" s="6" t="s">
        <v>377</v>
      </c>
      <c r="J354" s="6" t="s">
        <v>358</v>
      </c>
      <c r="K354" s="54" t="s">
        <v>359</v>
      </c>
      <c r="L354" s="6">
        <v>476</v>
      </c>
      <c r="M354" s="55" t="s">
        <v>564</v>
      </c>
      <c r="N354" s="56" t="s">
        <v>366</v>
      </c>
      <c r="O354" s="56"/>
      <c r="P354" s="56"/>
      <c r="Q354" s="56"/>
    </row>
    <row r="355" spans="1:17" ht="19.25" customHeight="1">
      <c r="A355" s="6"/>
      <c r="B355" s="6"/>
      <c r="C355" s="6" t="s">
        <v>350</v>
      </c>
      <c r="D355" s="6"/>
      <c r="E355" s="6" t="s">
        <v>730</v>
      </c>
      <c r="F355" s="6"/>
      <c r="G355" s="6"/>
      <c r="H355" s="5" t="s">
        <v>52</v>
      </c>
      <c r="I355" s="6" t="s">
        <v>377</v>
      </c>
      <c r="J355" s="6" t="s">
        <v>141</v>
      </c>
      <c r="K355" s="54" t="s">
        <v>78</v>
      </c>
      <c r="L355" s="6">
        <v>476</v>
      </c>
      <c r="M355" s="55" t="s">
        <v>564</v>
      </c>
      <c r="N355" s="56" t="s">
        <v>360</v>
      </c>
      <c r="O355" s="56"/>
      <c r="P355" s="56"/>
      <c r="Q355" s="56"/>
    </row>
    <row r="356" spans="1:17" ht="19.25" customHeight="1">
      <c r="A356" s="6"/>
      <c r="B356" s="6"/>
      <c r="C356" s="6" t="s">
        <v>354</v>
      </c>
      <c r="D356" s="6"/>
      <c r="E356" s="6"/>
      <c r="F356" s="6"/>
      <c r="G356" s="6"/>
      <c r="H356" s="5" t="s">
        <v>52</v>
      </c>
      <c r="I356" s="6" t="s">
        <v>374</v>
      </c>
      <c r="J356" s="6" t="s">
        <v>141</v>
      </c>
      <c r="K356" s="54" t="s">
        <v>78</v>
      </c>
      <c r="L356" s="6">
        <v>476</v>
      </c>
      <c r="M356" s="55" t="s">
        <v>564</v>
      </c>
      <c r="N356" s="56" t="s">
        <v>360</v>
      </c>
      <c r="O356" s="56"/>
      <c r="P356" s="56"/>
      <c r="Q356" s="56"/>
    </row>
    <row r="357" spans="1:17" ht="19.25" customHeight="1">
      <c r="A357" s="6"/>
      <c r="B357" s="6"/>
      <c r="C357" s="6" t="s">
        <v>352</v>
      </c>
      <c r="D357" s="6"/>
      <c r="E357" s="6"/>
      <c r="F357" s="6"/>
      <c r="G357" s="6"/>
      <c r="H357" s="5" t="s">
        <v>52</v>
      </c>
      <c r="I357" s="6" t="s">
        <v>374</v>
      </c>
      <c r="J357" s="6" t="s">
        <v>363</v>
      </c>
      <c r="K357" s="54" t="s">
        <v>359</v>
      </c>
      <c r="L357" s="6">
        <v>476</v>
      </c>
      <c r="M357" s="55" t="s">
        <v>564</v>
      </c>
      <c r="N357" s="56" t="s">
        <v>360</v>
      </c>
      <c r="O357" s="56"/>
      <c r="P357" s="56"/>
      <c r="Q357" s="56"/>
    </row>
    <row r="358" spans="1:17" ht="19.25" customHeight="1">
      <c r="A358" s="6"/>
      <c r="B358" s="6"/>
      <c r="C358" s="6" t="s">
        <v>353</v>
      </c>
      <c r="D358" s="6"/>
      <c r="E358" s="6"/>
      <c r="F358" s="6"/>
      <c r="G358" s="6"/>
      <c r="H358" s="5" t="s">
        <v>52</v>
      </c>
      <c r="I358" s="6" t="s">
        <v>374</v>
      </c>
      <c r="J358" s="6" t="s">
        <v>358</v>
      </c>
      <c r="K358" s="54" t="s">
        <v>359</v>
      </c>
      <c r="L358" s="6">
        <v>476</v>
      </c>
      <c r="M358" s="55" t="s">
        <v>564</v>
      </c>
      <c r="N358" s="56" t="s">
        <v>360</v>
      </c>
      <c r="O358" s="56"/>
      <c r="P358" s="56"/>
      <c r="Q358" s="56"/>
    </row>
    <row r="359" spans="1:17" ht="19.25" customHeight="1">
      <c r="A359" s="18" t="s">
        <v>539</v>
      </c>
      <c r="B359" s="18"/>
      <c r="C359" s="18"/>
      <c r="D359" s="18"/>
      <c r="E359" s="18" t="s">
        <v>731</v>
      </c>
      <c r="F359" s="18"/>
      <c r="G359" s="18"/>
      <c r="H359" s="19" t="s">
        <v>52</v>
      </c>
      <c r="I359" s="18" t="s">
        <v>23</v>
      </c>
      <c r="J359" s="18" t="s">
        <v>141</v>
      </c>
      <c r="K359" s="30" t="s">
        <v>78</v>
      </c>
      <c r="L359" s="18">
        <v>476</v>
      </c>
      <c r="M359" s="28" t="s">
        <v>44</v>
      </c>
      <c r="N359" s="20" t="s">
        <v>361</v>
      </c>
      <c r="O359" s="27"/>
      <c r="P359" s="20"/>
      <c r="Q359" s="20"/>
    </row>
    <row r="360" spans="1:17" ht="19.25" customHeight="1">
      <c r="A360" s="18"/>
      <c r="B360" s="18"/>
      <c r="C360" s="18"/>
      <c r="D360" s="18"/>
      <c r="E360" s="18" t="s">
        <v>568</v>
      </c>
      <c r="F360" s="18"/>
      <c r="G360" s="18"/>
      <c r="H360" s="19" t="s">
        <v>52</v>
      </c>
      <c r="I360" s="18" t="s">
        <v>14</v>
      </c>
      <c r="J360" s="18" t="s">
        <v>141</v>
      </c>
      <c r="K360" s="30" t="s">
        <v>78</v>
      </c>
      <c r="L360" s="18">
        <v>476</v>
      </c>
      <c r="M360" s="28" t="s">
        <v>44</v>
      </c>
      <c r="N360" s="20" t="s">
        <v>361</v>
      </c>
      <c r="O360" s="27"/>
      <c r="P360" s="20"/>
      <c r="Q360" s="20"/>
    </row>
    <row r="361" spans="1:17" ht="19.25" customHeight="1">
      <c r="A361" s="6"/>
      <c r="B361" s="6"/>
      <c r="C361" s="6" t="s">
        <v>351</v>
      </c>
      <c r="D361" s="6"/>
      <c r="E361" s="6"/>
      <c r="F361" s="6"/>
      <c r="G361" s="6"/>
      <c r="H361" s="5" t="s">
        <v>52</v>
      </c>
      <c r="I361" s="6" t="s">
        <v>377</v>
      </c>
      <c r="J361" s="6" t="s">
        <v>141</v>
      </c>
      <c r="K361" s="54" t="s">
        <v>78</v>
      </c>
      <c r="L361" s="6">
        <v>476</v>
      </c>
      <c r="M361" s="55" t="s">
        <v>564</v>
      </c>
      <c r="N361" s="56" t="s">
        <v>361</v>
      </c>
      <c r="O361" s="56"/>
      <c r="P361" s="56"/>
      <c r="Q361" s="56"/>
    </row>
    <row r="362" spans="1:17" ht="19.25" customHeight="1">
      <c r="A362" s="6"/>
      <c r="B362" s="6"/>
      <c r="C362" s="6" t="s">
        <v>355</v>
      </c>
      <c r="D362" s="6"/>
      <c r="E362" s="6"/>
      <c r="F362" s="6"/>
      <c r="G362" s="6"/>
      <c r="H362" s="5" t="s">
        <v>52</v>
      </c>
      <c r="I362" s="6" t="s">
        <v>374</v>
      </c>
      <c r="J362" s="6" t="s">
        <v>141</v>
      </c>
      <c r="K362" s="54" t="s">
        <v>78</v>
      </c>
      <c r="L362" s="6">
        <v>476</v>
      </c>
      <c r="M362" s="55" t="s">
        <v>564</v>
      </c>
      <c r="N362" s="56" t="s">
        <v>361</v>
      </c>
      <c r="O362" s="56"/>
      <c r="P362" s="56"/>
      <c r="Q362" s="56"/>
    </row>
    <row r="363" spans="1:17" ht="19.25" customHeight="1">
      <c r="A363" s="6"/>
      <c r="B363" s="6"/>
      <c r="C363" s="6" t="s">
        <v>356</v>
      </c>
      <c r="D363" s="6"/>
      <c r="E363" s="6"/>
      <c r="F363" s="6"/>
      <c r="G363" s="6"/>
      <c r="H363" s="5" t="s">
        <v>52</v>
      </c>
      <c r="I363" s="6" t="s">
        <v>374</v>
      </c>
      <c r="J363" s="6" t="s">
        <v>141</v>
      </c>
      <c r="K363" s="54" t="s">
        <v>78</v>
      </c>
      <c r="L363" s="6">
        <v>476</v>
      </c>
      <c r="M363" s="55" t="s">
        <v>564</v>
      </c>
      <c r="N363" s="56" t="s">
        <v>361</v>
      </c>
      <c r="O363" s="56"/>
      <c r="P363" s="56"/>
      <c r="Q363" s="56"/>
    </row>
    <row r="364" spans="1:17" ht="19.25" customHeight="1">
      <c r="A364" s="6"/>
      <c r="B364" s="6"/>
      <c r="C364" s="6" t="s">
        <v>424</v>
      </c>
      <c r="D364" s="53"/>
      <c r="E364" s="6"/>
      <c r="F364" s="6"/>
      <c r="G364" s="6"/>
      <c r="H364" s="29" t="s">
        <v>53</v>
      </c>
      <c r="I364" s="4" t="s">
        <v>415</v>
      </c>
      <c r="J364" s="6" t="s">
        <v>40</v>
      </c>
      <c r="K364" s="54" t="s">
        <v>562</v>
      </c>
      <c r="L364" s="6">
        <v>102</v>
      </c>
      <c r="M364" s="55" t="s">
        <v>92</v>
      </c>
      <c r="N364" s="56" t="s">
        <v>421</v>
      </c>
      <c r="O364" s="57"/>
      <c r="P364" s="56"/>
      <c r="Q364" s="53"/>
    </row>
    <row r="365" spans="1:17" ht="19.25" customHeight="1">
      <c r="A365" s="6"/>
      <c r="B365" s="6"/>
      <c r="C365" s="6" t="s">
        <v>425</v>
      </c>
      <c r="D365" s="53"/>
      <c r="E365" s="6"/>
      <c r="F365" s="6"/>
      <c r="G365" s="6"/>
      <c r="H365" s="29" t="s">
        <v>53</v>
      </c>
      <c r="I365" s="4" t="s">
        <v>14</v>
      </c>
      <c r="J365" s="6" t="s">
        <v>40</v>
      </c>
      <c r="K365" s="54" t="s">
        <v>562</v>
      </c>
      <c r="L365" s="6">
        <v>102</v>
      </c>
      <c r="M365" s="55" t="s">
        <v>92</v>
      </c>
      <c r="N365" s="56" t="s">
        <v>421</v>
      </c>
      <c r="O365" s="57"/>
      <c r="P365" s="56"/>
      <c r="Q365" s="53"/>
    </row>
    <row r="366" spans="1:17" ht="19.25" customHeight="1">
      <c r="A366" s="6"/>
      <c r="B366" s="6"/>
      <c r="C366" s="6" t="s">
        <v>419</v>
      </c>
      <c r="D366" s="53"/>
      <c r="E366" s="6"/>
      <c r="F366" s="6"/>
      <c r="G366" s="6"/>
      <c r="H366" s="29" t="s">
        <v>53</v>
      </c>
      <c r="I366" s="4" t="s">
        <v>415</v>
      </c>
      <c r="J366" s="6" t="s">
        <v>420</v>
      </c>
      <c r="K366" s="54" t="s">
        <v>562</v>
      </c>
      <c r="L366" s="6">
        <v>102</v>
      </c>
      <c r="M366" s="55" t="s">
        <v>42</v>
      </c>
      <c r="N366" s="56" t="s">
        <v>421</v>
      </c>
      <c r="O366" s="57"/>
      <c r="P366" s="56"/>
      <c r="Q366" s="53"/>
    </row>
    <row r="367" spans="1:17" ht="19.25" customHeight="1">
      <c r="A367" s="6"/>
      <c r="B367" s="6"/>
      <c r="C367" s="6" t="s">
        <v>426</v>
      </c>
      <c r="D367" s="53"/>
      <c r="E367" s="6"/>
      <c r="F367" s="6"/>
      <c r="G367" s="6"/>
      <c r="H367" s="29" t="s">
        <v>53</v>
      </c>
      <c r="I367" s="4" t="s">
        <v>14</v>
      </c>
      <c r="J367" s="6" t="s">
        <v>40</v>
      </c>
      <c r="K367" s="54" t="s">
        <v>562</v>
      </c>
      <c r="L367" s="6">
        <v>103</v>
      </c>
      <c r="M367" s="55" t="s">
        <v>92</v>
      </c>
      <c r="N367" s="56" t="s">
        <v>421</v>
      </c>
      <c r="O367" s="57"/>
      <c r="P367" s="56"/>
      <c r="Q367" s="53"/>
    </row>
    <row r="368" spans="1:17" ht="19.25" customHeight="1">
      <c r="A368" s="6"/>
      <c r="B368" s="6"/>
      <c r="C368" s="6" t="s">
        <v>431</v>
      </c>
      <c r="D368" s="53"/>
      <c r="E368" s="6"/>
      <c r="F368" s="6"/>
      <c r="G368" s="6"/>
      <c r="H368" s="29" t="s">
        <v>53</v>
      </c>
      <c r="I368" s="4" t="s">
        <v>18</v>
      </c>
      <c r="J368" s="6" t="s">
        <v>40</v>
      </c>
      <c r="K368" s="54" t="s">
        <v>562</v>
      </c>
      <c r="L368" s="6">
        <v>104</v>
      </c>
      <c r="M368" s="55" t="s">
        <v>92</v>
      </c>
      <c r="N368" s="56" t="s">
        <v>432</v>
      </c>
      <c r="O368" s="57"/>
      <c r="P368" s="56"/>
      <c r="Q368" s="53"/>
    </row>
    <row r="369" spans="1:17" ht="19.25" customHeight="1">
      <c r="A369" s="6"/>
      <c r="B369" s="6"/>
      <c r="C369" s="6" t="s">
        <v>438</v>
      </c>
      <c r="D369" s="53"/>
      <c r="E369" s="6"/>
      <c r="F369" s="6"/>
      <c r="G369" s="6"/>
      <c r="H369" s="29" t="s">
        <v>53</v>
      </c>
      <c r="I369" s="4" t="s">
        <v>434</v>
      </c>
      <c r="J369" s="6" t="s">
        <v>40</v>
      </c>
      <c r="K369" s="54" t="s">
        <v>562</v>
      </c>
      <c r="L369" s="6">
        <v>104</v>
      </c>
      <c r="M369" s="55" t="s">
        <v>92</v>
      </c>
      <c r="N369" s="56" t="s">
        <v>421</v>
      </c>
      <c r="O369" s="57"/>
      <c r="P369" s="56"/>
      <c r="Q369" s="53"/>
    </row>
    <row r="370" spans="1:17" ht="19.25" customHeight="1">
      <c r="A370" s="6"/>
      <c r="B370" s="6"/>
      <c r="C370" s="6" t="s">
        <v>522</v>
      </c>
      <c r="D370" s="53"/>
      <c r="E370" s="6"/>
      <c r="F370" s="6"/>
      <c r="G370" s="6"/>
      <c r="H370" s="29" t="s">
        <v>53</v>
      </c>
      <c r="I370" s="4" t="s">
        <v>537</v>
      </c>
      <c r="J370" s="6" t="s">
        <v>403</v>
      </c>
      <c r="K370" s="54" t="s">
        <v>562</v>
      </c>
      <c r="L370" s="6">
        <v>105</v>
      </c>
      <c r="M370" s="55" t="s">
        <v>92</v>
      </c>
      <c r="N370" s="56" t="s">
        <v>369</v>
      </c>
      <c r="O370" s="57"/>
      <c r="P370" s="56"/>
      <c r="Q370" s="53"/>
    </row>
    <row r="371" spans="1:17" ht="19.25" customHeight="1">
      <c r="A371" s="6"/>
      <c r="B371" s="6"/>
      <c r="C371" s="6" t="s">
        <v>523</v>
      </c>
      <c r="D371" s="53"/>
      <c r="E371" s="6"/>
      <c r="F371" s="6"/>
      <c r="G371" s="6"/>
      <c r="H371" s="29" t="s">
        <v>53</v>
      </c>
      <c r="I371" s="4" t="s">
        <v>537</v>
      </c>
      <c r="J371" s="6" t="s">
        <v>403</v>
      </c>
      <c r="K371" s="54" t="s">
        <v>562</v>
      </c>
      <c r="L371" s="6">
        <v>105</v>
      </c>
      <c r="M371" s="55" t="s">
        <v>92</v>
      </c>
      <c r="N371" s="56" t="s">
        <v>369</v>
      </c>
      <c r="O371" s="57"/>
      <c r="P371" s="56"/>
      <c r="Q371" s="53"/>
    </row>
    <row r="372" spans="1:17" ht="19.25" customHeight="1">
      <c r="A372" s="6"/>
      <c r="B372" s="6"/>
      <c r="C372" s="6" t="s">
        <v>525</v>
      </c>
      <c r="D372" s="53"/>
      <c r="E372" s="6"/>
      <c r="F372" s="6"/>
      <c r="G372" s="6"/>
      <c r="H372" s="29" t="s">
        <v>53</v>
      </c>
      <c r="I372" s="4" t="s">
        <v>537</v>
      </c>
      <c r="J372" s="6" t="s">
        <v>403</v>
      </c>
      <c r="K372" s="54" t="s">
        <v>562</v>
      </c>
      <c r="L372" s="6">
        <v>105</v>
      </c>
      <c r="M372" s="55" t="s">
        <v>92</v>
      </c>
      <c r="N372" s="56" t="s">
        <v>375</v>
      </c>
      <c r="O372" s="57"/>
      <c r="P372" s="56"/>
      <c r="Q372" s="53"/>
    </row>
    <row r="373" spans="1:17" ht="19.25" customHeight="1">
      <c r="A373" s="6"/>
      <c r="B373" s="6"/>
      <c r="C373" s="6" t="s">
        <v>526</v>
      </c>
      <c r="D373" s="53"/>
      <c r="E373" s="6"/>
      <c r="F373" s="6"/>
      <c r="G373" s="6"/>
      <c r="H373" s="29" t="s">
        <v>53</v>
      </c>
      <c r="I373" s="4" t="s">
        <v>537</v>
      </c>
      <c r="J373" s="6" t="s">
        <v>403</v>
      </c>
      <c r="K373" s="54" t="s">
        <v>562</v>
      </c>
      <c r="L373" s="6">
        <v>105</v>
      </c>
      <c r="M373" s="55" t="s">
        <v>92</v>
      </c>
      <c r="N373" s="56" t="s">
        <v>375</v>
      </c>
      <c r="O373" s="57"/>
      <c r="P373" s="56"/>
      <c r="Q373" s="53"/>
    </row>
    <row r="374" spans="1:17" ht="19.25" customHeight="1">
      <c r="A374" s="6"/>
      <c r="B374" s="6"/>
      <c r="C374" s="6" t="s">
        <v>516</v>
      </c>
      <c r="D374" s="53"/>
      <c r="E374" s="6"/>
      <c r="F374" s="6"/>
      <c r="G374" s="6"/>
      <c r="H374" s="29" t="s">
        <v>53</v>
      </c>
      <c r="I374" s="4" t="s">
        <v>402</v>
      </c>
      <c r="J374" s="6" t="s">
        <v>403</v>
      </c>
      <c r="K374" s="54" t="s">
        <v>562</v>
      </c>
      <c r="L374" s="6">
        <v>106</v>
      </c>
      <c r="M374" s="55" t="s">
        <v>92</v>
      </c>
      <c r="N374" s="56" t="s">
        <v>364</v>
      </c>
      <c r="O374" s="57"/>
      <c r="P374" s="56"/>
      <c r="Q374" s="53"/>
    </row>
    <row r="375" spans="1:17" ht="19.25" customHeight="1">
      <c r="A375" s="6"/>
      <c r="B375" s="6"/>
      <c r="C375" s="6" t="s">
        <v>638</v>
      </c>
      <c r="D375" s="53"/>
      <c r="E375" s="6"/>
      <c r="F375" s="6"/>
      <c r="G375" s="6"/>
      <c r="H375" s="29" t="s">
        <v>53</v>
      </c>
      <c r="I375" s="4" t="s">
        <v>402</v>
      </c>
      <c r="J375" s="6" t="s">
        <v>403</v>
      </c>
      <c r="K375" s="54" t="s">
        <v>562</v>
      </c>
      <c r="L375" s="6">
        <v>106</v>
      </c>
      <c r="M375" s="55" t="s">
        <v>92</v>
      </c>
      <c r="N375" s="56" t="s">
        <v>367</v>
      </c>
      <c r="O375" s="57"/>
      <c r="P375" s="56"/>
      <c r="Q375" s="53"/>
    </row>
    <row r="376" spans="1:17" ht="19.25" customHeight="1">
      <c r="A376" s="6"/>
      <c r="B376" s="6"/>
      <c r="C376" s="6" t="s">
        <v>689</v>
      </c>
      <c r="D376" s="6"/>
      <c r="E376" s="6" t="s">
        <v>407</v>
      </c>
      <c r="F376" s="6"/>
      <c r="G376" s="6"/>
      <c r="H376" s="5" t="s">
        <v>53</v>
      </c>
      <c r="I376" s="6" t="s">
        <v>402</v>
      </c>
      <c r="J376" s="6" t="s">
        <v>403</v>
      </c>
      <c r="K376" s="54" t="s">
        <v>562</v>
      </c>
      <c r="L376" s="6">
        <v>106</v>
      </c>
      <c r="M376" s="55" t="s">
        <v>92</v>
      </c>
      <c r="N376" s="56" t="s">
        <v>367</v>
      </c>
      <c r="O376" s="56"/>
      <c r="P376" s="56"/>
      <c r="Q376" s="56"/>
    </row>
    <row r="377" spans="1:17" ht="19.25" customHeight="1">
      <c r="A377" s="6"/>
      <c r="B377" s="6"/>
      <c r="C377" s="6" t="s">
        <v>517</v>
      </c>
      <c r="D377" s="53"/>
      <c r="E377" s="6"/>
      <c r="F377" s="6"/>
      <c r="G377" s="6"/>
      <c r="H377" s="29" t="s">
        <v>53</v>
      </c>
      <c r="I377" s="4" t="s">
        <v>402</v>
      </c>
      <c r="J377" s="6" t="s">
        <v>403</v>
      </c>
      <c r="K377" s="54" t="s">
        <v>562</v>
      </c>
      <c r="L377" s="6">
        <v>106</v>
      </c>
      <c r="M377" s="55" t="s">
        <v>44</v>
      </c>
      <c r="N377" s="56" t="s">
        <v>367</v>
      </c>
      <c r="O377" s="57"/>
      <c r="P377" s="56"/>
      <c r="Q377" s="53"/>
    </row>
    <row r="378" spans="1:17" ht="19.25" customHeight="1">
      <c r="A378" s="6"/>
      <c r="B378" s="6"/>
      <c r="C378" s="6" t="s">
        <v>698</v>
      </c>
      <c r="D378" s="6"/>
      <c r="E378" s="6" t="s">
        <v>25</v>
      </c>
      <c r="F378" s="6"/>
      <c r="G378" s="6"/>
      <c r="H378" s="5" t="s">
        <v>53</v>
      </c>
      <c r="I378" s="6" t="s">
        <v>24</v>
      </c>
      <c r="J378" s="6" t="s">
        <v>43</v>
      </c>
      <c r="K378" s="54" t="s">
        <v>78</v>
      </c>
      <c r="L378" s="6">
        <v>106</v>
      </c>
      <c r="M378" s="55" t="s">
        <v>20</v>
      </c>
      <c r="N378" s="56" t="s">
        <v>63</v>
      </c>
      <c r="O378" s="56"/>
      <c r="P378" s="56"/>
      <c r="Q378" s="56"/>
    </row>
    <row r="379" spans="1:17" ht="19.25" customHeight="1">
      <c r="A379" s="12"/>
      <c r="B379" s="12"/>
      <c r="C379" s="12" t="s">
        <v>591</v>
      </c>
      <c r="D379" s="12"/>
      <c r="E379" s="12" t="s">
        <v>119</v>
      </c>
      <c r="F379" s="12"/>
      <c r="G379" s="12"/>
      <c r="H379" s="13" t="s">
        <v>53</v>
      </c>
      <c r="I379" s="12" t="s">
        <v>118</v>
      </c>
      <c r="J379" s="14" t="s">
        <v>111</v>
      </c>
      <c r="K379" s="15" t="s">
        <v>562</v>
      </c>
      <c r="L379" s="12">
        <v>106</v>
      </c>
      <c r="M379" s="28" t="s">
        <v>92</v>
      </c>
      <c r="N379" s="16" t="s">
        <v>100</v>
      </c>
      <c r="O379" s="12"/>
      <c r="P379" s="12"/>
      <c r="Q379" s="12"/>
    </row>
    <row r="380" spans="1:17" ht="19.25" customHeight="1">
      <c r="A380" s="6"/>
      <c r="B380" s="6"/>
      <c r="C380" s="6" t="s">
        <v>513</v>
      </c>
      <c r="D380" s="53"/>
      <c r="E380" s="6"/>
      <c r="F380" s="6"/>
      <c r="G380" s="6"/>
      <c r="H380" s="29" t="s">
        <v>53</v>
      </c>
      <c r="I380" s="4" t="s">
        <v>402</v>
      </c>
      <c r="J380" s="6" t="s">
        <v>368</v>
      </c>
      <c r="K380" s="54" t="s">
        <v>562</v>
      </c>
      <c r="L380" s="6">
        <v>106</v>
      </c>
      <c r="M380" s="55" t="s">
        <v>92</v>
      </c>
      <c r="N380" s="56" t="s">
        <v>369</v>
      </c>
      <c r="O380" s="57"/>
      <c r="P380" s="56"/>
      <c r="Q380" s="53"/>
    </row>
    <row r="381" spans="1:17" ht="19.25" customHeight="1">
      <c r="A381" s="6" t="s">
        <v>665</v>
      </c>
      <c r="B381" s="6"/>
      <c r="C381" s="6"/>
      <c r="D381" s="53"/>
      <c r="E381" s="6"/>
      <c r="F381" s="6"/>
      <c r="G381" s="6"/>
      <c r="H381" s="5" t="s">
        <v>53</v>
      </c>
      <c r="I381" s="4" t="s">
        <v>667</v>
      </c>
      <c r="J381" s="6" t="s">
        <v>141</v>
      </c>
      <c r="K381" s="54" t="s">
        <v>78</v>
      </c>
      <c r="L381" s="6">
        <v>106</v>
      </c>
      <c r="M381" s="55" t="s">
        <v>92</v>
      </c>
      <c r="N381" s="56" t="s">
        <v>666</v>
      </c>
      <c r="O381" s="58"/>
      <c r="P381" s="56"/>
      <c r="Q381" s="53"/>
    </row>
    <row r="382" spans="1:17" ht="19.25" customHeight="1">
      <c r="A382" s="6"/>
      <c r="B382" s="6"/>
      <c r="C382" s="6" t="s">
        <v>799</v>
      </c>
      <c r="D382" s="53"/>
      <c r="E382" s="6" t="s">
        <v>796</v>
      </c>
      <c r="F382" s="6"/>
      <c r="G382" s="6"/>
      <c r="H382" s="5" t="s">
        <v>53</v>
      </c>
      <c r="I382" s="4" t="s">
        <v>402</v>
      </c>
      <c r="J382" s="6" t="s">
        <v>141</v>
      </c>
      <c r="K382" s="54" t="s">
        <v>78</v>
      </c>
      <c r="L382" s="6">
        <v>106</v>
      </c>
      <c r="M382" s="55" t="s">
        <v>92</v>
      </c>
      <c r="N382" s="56" t="s">
        <v>375</v>
      </c>
      <c r="O382" s="57"/>
      <c r="P382" s="56"/>
      <c r="Q382" s="53"/>
    </row>
    <row r="383" spans="1:17" ht="19.25" customHeight="1">
      <c r="A383" s="6"/>
      <c r="B383" s="6"/>
      <c r="C383" s="6" t="s">
        <v>702</v>
      </c>
      <c r="D383" s="53"/>
      <c r="E383" s="6" t="s">
        <v>703</v>
      </c>
      <c r="F383" s="6"/>
      <c r="G383" s="6"/>
      <c r="H383" s="5" t="s">
        <v>53</v>
      </c>
      <c r="I383" s="4" t="s">
        <v>402</v>
      </c>
      <c r="J383" s="6" t="s">
        <v>141</v>
      </c>
      <c r="K383" s="54" t="s">
        <v>78</v>
      </c>
      <c r="L383" s="6">
        <v>107</v>
      </c>
      <c r="M383" s="55" t="s">
        <v>44</v>
      </c>
      <c r="N383" s="56" t="s">
        <v>691</v>
      </c>
      <c r="O383" s="57"/>
      <c r="P383" s="56"/>
      <c r="Q383" s="53"/>
    </row>
    <row r="384" spans="1:17" ht="19.25" customHeight="1">
      <c r="A384" s="6"/>
      <c r="B384" s="6"/>
      <c r="C384" s="6" t="s">
        <v>428</v>
      </c>
      <c r="D384" s="53"/>
      <c r="E384" s="6"/>
      <c r="F384" s="6"/>
      <c r="G384" s="6"/>
      <c r="H384" s="29" t="s">
        <v>53</v>
      </c>
      <c r="I384" s="4" t="s">
        <v>14</v>
      </c>
      <c r="J384" s="6" t="s">
        <v>40</v>
      </c>
      <c r="K384" s="54" t="s">
        <v>562</v>
      </c>
      <c r="L384" s="6">
        <v>152</v>
      </c>
      <c r="M384" s="55" t="s">
        <v>92</v>
      </c>
      <c r="N384" s="56" t="s">
        <v>418</v>
      </c>
      <c r="O384" s="57"/>
      <c r="P384" s="56"/>
      <c r="Q384" s="53"/>
    </row>
    <row r="385" spans="1:17" ht="19.25" customHeight="1">
      <c r="A385" s="6"/>
      <c r="B385" s="6"/>
      <c r="C385" s="6" t="s">
        <v>417</v>
      </c>
      <c r="D385" s="53"/>
      <c r="E385" s="6"/>
      <c r="F385" s="6"/>
      <c r="G385" s="6"/>
      <c r="H385" s="29" t="s">
        <v>53</v>
      </c>
      <c r="I385" s="4" t="s">
        <v>415</v>
      </c>
      <c r="J385" s="6" t="s">
        <v>41</v>
      </c>
      <c r="K385" s="54" t="s">
        <v>562</v>
      </c>
      <c r="L385" s="6">
        <v>221</v>
      </c>
      <c r="M385" s="55" t="s">
        <v>42</v>
      </c>
      <c r="N385" s="56" t="s">
        <v>418</v>
      </c>
      <c r="O385" s="57"/>
      <c r="P385" s="56"/>
      <c r="Q385" s="53"/>
    </row>
    <row r="386" spans="1:17" ht="19.25" customHeight="1">
      <c r="A386" s="6"/>
      <c r="B386" s="6"/>
      <c r="C386" s="6" t="s">
        <v>414</v>
      </c>
      <c r="D386" s="53"/>
      <c r="E386" s="6"/>
      <c r="F386" s="6"/>
      <c r="G386" s="6"/>
      <c r="H386" s="29" t="s">
        <v>53</v>
      </c>
      <c r="I386" s="4" t="s">
        <v>415</v>
      </c>
      <c r="J386" s="6" t="s">
        <v>41</v>
      </c>
      <c r="K386" s="54" t="s">
        <v>562</v>
      </c>
      <c r="L386" s="6">
        <v>221</v>
      </c>
      <c r="M386" s="55" t="s">
        <v>42</v>
      </c>
      <c r="N386" s="56" t="s">
        <v>416</v>
      </c>
      <c r="O386" s="57"/>
      <c r="P386" s="56"/>
      <c r="Q386" s="53"/>
    </row>
    <row r="387" spans="1:17" ht="19.25" customHeight="1">
      <c r="A387" s="6"/>
      <c r="B387" s="6"/>
      <c r="C387" s="6" t="s">
        <v>422</v>
      </c>
      <c r="D387" s="53"/>
      <c r="E387" s="6"/>
      <c r="F387" s="6"/>
      <c r="G387" s="6"/>
      <c r="H387" s="29" t="s">
        <v>53</v>
      </c>
      <c r="I387" s="4" t="s">
        <v>415</v>
      </c>
      <c r="J387" s="6" t="s">
        <v>420</v>
      </c>
      <c r="K387" s="54" t="s">
        <v>562</v>
      </c>
      <c r="L387" s="6">
        <v>221</v>
      </c>
      <c r="M387" s="55" t="s">
        <v>42</v>
      </c>
      <c r="N387" s="56" t="s">
        <v>421</v>
      </c>
      <c r="O387" s="57"/>
      <c r="P387" s="56"/>
      <c r="Q387" s="53"/>
    </row>
    <row r="388" spans="1:17" ht="19.25" customHeight="1">
      <c r="A388" s="6"/>
      <c r="B388" s="6"/>
      <c r="C388" s="6" t="s">
        <v>427</v>
      </c>
      <c r="D388" s="53"/>
      <c r="E388" s="6"/>
      <c r="F388" s="6"/>
      <c r="G388" s="6"/>
      <c r="H388" s="29" t="s">
        <v>53</v>
      </c>
      <c r="I388" s="4" t="s">
        <v>14</v>
      </c>
      <c r="J388" s="6" t="s">
        <v>40</v>
      </c>
      <c r="K388" s="54" t="s">
        <v>562</v>
      </c>
      <c r="L388" s="6">
        <v>222</v>
      </c>
      <c r="M388" s="55" t="s">
        <v>92</v>
      </c>
      <c r="N388" s="56" t="s">
        <v>421</v>
      </c>
      <c r="O388" s="57"/>
      <c r="P388" s="56"/>
      <c r="Q388" s="53"/>
    </row>
    <row r="389" spans="1:17" ht="19.25" customHeight="1">
      <c r="A389" s="6"/>
      <c r="B389" s="6"/>
      <c r="C389" s="6" t="s">
        <v>524</v>
      </c>
      <c r="D389" s="53"/>
      <c r="E389" s="6"/>
      <c r="F389" s="6"/>
      <c r="G389" s="6"/>
      <c r="H389" s="29" t="s">
        <v>53</v>
      </c>
      <c r="I389" s="4" t="s">
        <v>537</v>
      </c>
      <c r="J389" s="6" t="s">
        <v>403</v>
      </c>
      <c r="K389" s="54" t="s">
        <v>562</v>
      </c>
      <c r="L389" s="6">
        <v>225</v>
      </c>
      <c r="M389" s="55" t="s">
        <v>92</v>
      </c>
      <c r="N389" s="56" t="s">
        <v>369</v>
      </c>
      <c r="O389" s="57"/>
      <c r="P389" s="56"/>
      <c r="Q389" s="53"/>
    </row>
    <row r="390" spans="1:17" ht="19.25" customHeight="1">
      <c r="A390" s="18"/>
      <c r="B390" s="18"/>
      <c r="C390" s="74" t="s">
        <v>182</v>
      </c>
      <c r="D390" s="18"/>
      <c r="E390" s="18" t="s">
        <v>183</v>
      </c>
      <c r="F390" s="18"/>
      <c r="G390" s="18"/>
      <c r="H390" s="19" t="s">
        <v>53</v>
      </c>
      <c r="I390" s="18" t="s">
        <v>18</v>
      </c>
      <c r="J390" s="18" t="s">
        <v>40</v>
      </c>
      <c r="K390" s="30" t="s">
        <v>562</v>
      </c>
      <c r="L390" s="18">
        <v>225</v>
      </c>
      <c r="M390" s="28" t="s">
        <v>20</v>
      </c>
      <c r="N390" s="20" t="s">
        <v>64</v>
      </c>
      <c r="O390" s="20"/>
      <c r="P390" s="20"/>
      <c r="Q390" s="20"/>
    </row>
    <row r="391" spans="1:17" ht="19.25" customHeight="1">
      <c r="A391" s="6"/>
      <c r="B391" s="6"/>
      <c r="C391" s="6" t="s">
        <v>520</v>
      </c>
      <c r="D391" s="53"/>
      <c r="E391" s="6"/>
      <c r="F391" s="6"/>
      <c r="G391" s="6"/>
      <c r="H391" s="29" t="s">
        <v>53</v>
      </c>
      <c r="I391" s="4" t="s">
        <v>402</v>
      </c>
      <c r="J391" s="6" t="s">
        <v>403</v>
      </c>
      <c r="K391" s="54" t="s">
        <v>562</v>
      </c>
      <c r="L391" s="6">
        <v>225</v>
      </c>
      <c r="M391" s="55" t="s">
        <v>92</v>
      </c>
      <c r="N391" s="56" t="s">
        <v>375</v>
      </c>
      <c r="O391" s="57"/>
      <c r="P391" s="56"/>
      <c r="Q391" s="53"/>
    </row>
    <row r="392" spans="1:17" ht="19.25" customHeight="1">
      <c r="A392" s="6"/>
      <c r="B392" s="6"/>
      <c r="C392" s="6" t="s">
        <v>521</v>
      </c>
      <c r="D392" s="53"/>
      <c r="E392" s="6"/>
      <c r="F392" s="6"/>
      <c r="G392" s="6"/>
      <c r="H392" s="29" t="s">
        <v>53</v>
      </c>
      <c r="I392" s="4" t="s">
        <v>402</v>
      </c>
      <c r="J392" s="6" t="s">
        <v>403</v>
      </c>
      <c r="K392" s="54" t="s">
        <v>562</v>
      </c>
      <c r="L392" s="6">
        <v>225</v>
      </c>
      <c r="M392" s="55" t="s">
        <v>92</v>
      </c>
      <c r="N392" s="56" t="s">
        <v>375</v>
      </c>
      <c r="O392" s="57"/>
      <c r="P392" s="56"/>
      <c r="Q392" s="53"/>
    </row>
    <row r="393" spans="1:17" ht="19.25" customHeight="1">
      <c r="A393" s="6"/>
      <c r="B393" s="6"/>
      <c r="C393" s="6" t="s">
        <v>494</v>
      </c>
      <c r="D393" s="53"/>
      <c r="E393" s="6"/>
      <c r="F393" s="6"/>
      <c r="G393" s="6"/>
      <c r="H393" s="29" t="s">
        <v>53</v>
      </c>
      <c r="I393" s="4" t="s">
        <v>402</v>
      </c>
      <c r="J393" s="6" t="s">
        <v>368</v>
      </c>
      <c r="K393" s="54" t="s">
        <v>562</v>
      </c>
      <c r="L393" s="6">
        <v>225</v>
      </c>
      <c r="M393" s="55" t="s">
        <v>92</v>
      </c>
      <c r="N393" s="56" t="s">
        <v>375</v>
      </c>
      <c r="O393" s="57"/>
      <c r="P393" s="56"/>
      <c r="Q393" s="53"/>
    </row>
    <row r="394" spans="1:17" ht="19.25" customHeight="1">
      <c r="A394" s="12"/>
      <c r="B394" s="12"/>
      <c r="C394" s="12" t="s">
        <v>122</v>
      </c>
      <c r="D394" s="12"/>
      <c r="E394" s="12" t="s">
        <v>125</v>
      </c>
      <c r="F394" s="12"/>
      <c r="G394" s="12"/>
      <c r="H394" s="13" t="s">
        <v>53</v>
      </c>
      <c r="I394" s="12" t="s">
        <v>118</v>
      </c>
      <c r="J394" s="14" t="s">
        <v>111</v>
      </c>
      <c r="K394" s="15" t="s">
        <v>562</v>
      </c>
      <c r="L394" s="12">
        <v>226</v>
      </c>
      <c r="M394" s="28" t="s">
        <v>92</v>
      </c>
      <c r="N394" s="16" t="s">
        <v>97</v>
      </c>
      <c r="O394" s="12"/>
      <c r="P394" s="12"/>
      <c r="Q394" s="12"/>
    </row>
    <row r="395" spans="1:17" ht="19.25" customHeight="1">
      <c r="A395" s="6" t="s">
        <v>686</v>
      </c>
      <c r="B395" s="6"/>
      <c r="C395" s="6"/>
      <c r="D395" s="53"/>
      <c r="E395" s="6" t="s">
        <v>732</v>
      </c>
      <c r="F395" s="6"/>
      <c r="G395" s="6"/>
      <c r="H395" s="5" t="s">
        <v>53</v>
      </c>
      <c r="I395" s="4" t="s">
        <v>402</v>
      </c>
      <c r="J395" s="6" t="s">
        <v>141</v>
      </c>
      <c r="K395" s="54" t="s">
        <v>78</v>
      </c>
      <c r="L395" s="6">
        <v>226</v>
      </c>
      <c r="M395" s="55" t="s">
        <v>44</v>
      </c>
      <c r="N395" s="56" t="s">
        <v>364</v>
      </c>
      <c r="O395" s="57"/>
      <c r="P395" s="56"/>
      <c r="Q395" s="53"/>
    </row>
    <row r="396" spans="1:17" ht="19.25" customHeight="1">
      <c r="A396" s="18"/>
      <c r="B396" s="18"/>
      <c r="C396" s="21" t="s">
        <v>625</v>
      </c>
      <c r="D396" s="18"/>
      <c r="E396" s="18" t="s">
        <v>45</v>
      </c>
      <c r="F396" s="18" t="s">
        <v>46</v>
      </c>
      <c r="G396" s="18"/>
      <c r="H396" s="19" t="s">
        <v>53</v>
      </c>
      <c r="I396" s="18" t="s">
        <v>402</v>
      </c>
      <c r="J396" s="18" t="s">
        <v>43</v>
      </c>
      <c r="K396" s="30" t="s">
        <v>78</v>
      </c>
      <c r="L396" s="18">
        <v>226</v>
      </c>
      <c r="M396" s="28" t="s">
        <v>20</v>
      </c>
      <c r="N396" s="20" t="s">
        <v>63</v>
      </c>
      <c r="O396" s="20"/>
      <c r="P396" s="20"/>
      <c r="Q396" s="20"/>
    </row>
    <row r="397" spans="1:17" ht="19.25" customHeight="1">
      <c r="A397" s="6"/>
      <c r="B397" s="6"/>
      <c r="C397" s="6" t="s">
        <v>514</v>
      </c>
      <c r="D397" s="53"/>
      <c r="E397" s="6"/>
      <c r="F397" s="6"/>
      <c r="G397" s="6"/>
      <c r="H397" s="29" t="s">
        <v>53</v>
      </c>
      <c r="I397" s="4" t="s">
        <v>402</v>
      </c>
      <c r="J397" s="6" t="s">
        <v>403</v>
      </c>
      <c r="K397" s="54" t="s">
        <v>562</v>
      </c>
      <c r="L397" s="6">
        <v>226</v>
      </c>
      <c r="M397" s="55" t="s">
        <v>92</v>
      </c>
      <c r="N397" s="56" t="s">
        <v>361</v>
      </c>
      <c r="O397" s="57"/>
      <c r="P397" s="56"/>
      <c r="Q397" s="53"/>
    </row>
    <row r="398" spans="1:17" ht="19.25" customHeight="1">
      <c r="A398" s="6"/>
      <c r="B398" s="6"/>
      <c r="C398" s="6" t="s">
        <v>515</v>
      </c>
      <c r="D398" s="53"/>
      <c r="E398" s="6"/>
      <c r="F398" s="6"/>
      <c r="G398" s="6"/>
      <c r="H398" s="29" t="s">
        <v>53</v>
      </c>
      <c r="I398" s="4" t="s">
        <v>402</v>
      </c>
      <c r="J398" s="6" t="s">
        <v>403</v>
      </c>
      <c r="K398" s="54" t="s">
        <v>562</v>
      </c>
      <c r="L398" s="6">
        <v>226</v>
      </c>
      <c r="M398" s="55" t="s">
        <v>44</v>
      </c>
      <c r="N398" s="56" t="s">
        <v>361</v>
      </c>
      <c r="O398" s="57"/>
      <c r="P398" s="56"/>
      <c r="Q398" s="53"/>
    </row>
    <row r="399" spans="1:17" ht="19.25" customHeight="1">
      <c r="A399" s="6"/>
      <c r="B399" s="6"/>
      <c r="C399" s="6" t="s">
        <v>429</v>
      </c>
      <c r="D399" s="53"/>
      <c r="E399" s="6"/>
      <c r="F399" s="6"/>
      <c r="G399" s="6"/>
      <c r="H399" s="29" t="s">
        <v>53</v>
      </c>
      <c r="I399" s="4" t="s">
        <v>14</v>
      </c>
      <c r="J399" s="6" t="s">
        <v>40</v>
      </c>
      <c r="K399" s="54" t="s">
        <v>562</v>
      </c>
      <c r="L399" s="6">
        <v>471</v>
      </c>
      <c r="M399" s="55" t="s">
        <v>92</v>
      </c>
      <c r="N399" s="56" t="s">
        <v>418</v>
      </c>
      <c r="O399" s="57"/>
      <c r="P399" s="56"/>
      <c r="Q399" s="53"/>
    </row>
    <row r="400" spans="1:17" ht="19.25" customHeight="1">
      <c r="A400" s="6"/>
      <c r="B400" s="6"/>
      <c r="C400" s="6" t="s">
        <v>430</v>
      </c>
      <c r="D400" s="53"/>
      <c r="E400" s="6"/>
      <c r="F400" s="6"/>
      <c r="G400" s="6"/>
      <c r="H400" s="29" t="s">
        <v>53</v>
      </c>
      <c r="I400" s="4" t="s">
        <v>14</v>
      </c>
      <c r="J400" s="6" t="s">
        <v>40</v>
      </c>
      <c r="K400" s="54" t="s">
        <v>562</v>
      </c>
      <c r="L400" s="6">
        <v>472</v>
      </c>
      <c r="M400" s="55" t="s">
        <v>92</v>
      </c>
      <c r="N400" s="56" t="s">
        <v>418</v>
      </c>
      <c r="O400" s="57"/>
      <c r="P400" s="56"/>
      <c r="Q400" s="53"/>
    </row>
    <row r="401" spans="1:17" ht="19.25" customHeight="1">
      <c r="A401" s="6"/>
      <c r="B401" s="6"/>
      <c r="C401" s="6" t="s">
        <v>518</v>
      </c>
      <c r="D401" s="53"/>
      <c r="E401" s="6"/>
      <c r="F401" s="6"/>
      <c r="G401" s="6"/>
      <c r="H401" s="29" t="s">
        <v>53</v>
      </c>
      <c r="I401" s="4" t="s">
        <v>402</v>
      </c>
      <c r="J401" s="6" t="s">
        <v>403</v>
      </c>
      <c r="K401" s="54" t="s">
        <v>562</v>
      </c>
      <c r="L401" s="6">
        <v>475</v>
      </c>
      <c r="M401" s="55" t="s">
        <v>92</v>
      </c>
      <c r="N401" s="56" t="s">
        <v>367</v>
      </c>
      <c r="O401" s="57"/>
      <c r="P401" s="56"/>
      <c r="Q401" s="53"/>
    </row>
    <row r="402" spans="1:17" ht="19.25" customHeight="1">
      <c r="A402" s="6"/>
      <c r="B402" s="6"/>
      <c r="C402" s="6" t="s">
        <v>493</v>
      </c>
      <c r="D402" s="53"/>
      <c r="E402" s="6"/>
      <c r="F402" s="6"/>
      <c r="G402" s="6"/>
      <c r="H402" s="29" t="s">
        <v>53</v>
      </c>
      <c r="I402" s="4" t="s">
        <v>402</v>
      </c>
      <c r="J402" s="6" t="s">
        <v>368</v>
      </c>
      <c r="K402" s="54" t="s">
        <v>562</v>
      </c>
      <c r="L402" s="6">
        <v>475</v>
      </c>
      <c r="M402" s="55" t="s">
        <v>44</v>
      </c>
      <c r="N402" s="56" t="s">
        <v>367</v>
      </c>
      <c r="O402" s="57"/>
      <c r="P402" s="56"/>
      <c r="Q402" s="53"/>
    </row>
    <row r="403" spans="1:17" ht="19.25" customHeight="1">
      <c r="A403" s="6"/>
      <c r="B403" s="6"/>
      <c r="C403" s="6" t="s">
        <v>519</v>
      </c>
      <c r="D403" s="53"/>
      <c r="E403" s="6"/>
      <c r="F403" s="6"/>
      <c r="G403" s="6"/>
      <c r="H403" s="29" t="s">
        <v>53</v>
      </c>
      <c r="I403" s="4" t="s">
        <v>402</v>
      </c>
      <c r="J403" s="6" t="s">
        <v>403</v>
      </c>
      <c r="K403" s="54" t="s">
        <v>562</v>
      </c>
      <c r="L403" s="6">
        <v>475</v>
      </c>
      <c r="M403" s="55" t="s">
        <v>92</v>
      </c>
      <c r="N403" s="56" t="s">
        <v>369</v>
      </c>
      <c r="O403" s="57"/>
      <c r="P403" s="56"/>
      <c r="Q403" s="53"/>
    </row>
    <row r="404" spans="1:17" ht="19.25" customHeight="1">
      <c r="A404" s="12"/>
      <c r="B404" s="12"/>
      <c r="C404" s="12" t="s">
        <v>120</v>
      </c>
      <c r="D404" s="12"/>
      <c r="E404" s="12" t="s">
        <v>121</v>
      </c>
      <c r="F404" s="12"/>
      <c r="G404" s="12"/>
      <c r="H404" s="13" t="s">
        <v>53</v>
      </c>
      <c r="I404" s="12" t="s">
        <v>118</v>
      </c>
      <c r="J404" s="14" t="s">
        <v>111</v>
      </c>
      <c r="K404" s="15" t="s">
        <v>562</v>
      </c>
      <c r="L404" s="12">
        <v>475</v>
      </c>
      <c r="M404" s="28" t="s">
        <v>92</v>
      </c>
      <c r="N404" s="16" t="s">
        <v>102</v>
      </c>
      <c r="O404" s="12"/>
      <c r="P404" s="12"/>
      <c r="Q404" s="12"/>
    </row>
    <row r="405" spans="1:17" ht="19.25" customHeight="1">
      <c r="A405" s="18"/>
      <c r="B405" s="18"/>
      <c r="C405" s="21" t="s">
        <v>396</v>
      </c>
      <c r="D405" s="18"/>
      <c r="E405" s="18"/>
      <c r="F405" s="18"/>
      <c r="G405" s="18"/>
      <c r="H405" s="19" t="s">
        <v>53</v>
      </c>
      <c r="I405" s="18" t="s">
        <v>18</v>
      </c>
      <c r="J405" s="18" t="s">
        <v>394</v>
      </c>
      <c r="K405" s="30" t="s">
        <v>562</v>
      </c>
      <c r="L405" s="18">
        <v>475</v>
      </c>
      <c r="M405" s="28" t="s">
        <v>20</v>
      </c>
      <c r="N405" s="20" t="s">
        <v>395</v>
      </c>
      <c r="O405" s="67"/>
      <c r="P405" s="20"/>
      <c r="Q405" s="20"/>
    </row>
    <row r="406" spans="1:17" ht="19.25" customHeight="1">
      <c r="A406" s="6"/>
      <c r="B406" s="6"/>
      <c r="C406" s="6" t="s">
        <v>748</v>
      </c>
      <c r="D406" s="53"/>
      <c r="E406" s="6" t="s">
        <v>750</v>
      </c>
      <c r="F406" s="6"/>
      <c r="G406" s="6"/>
      <c r="H406" s="5" t="s">
        <v>53</v>
      </c>
      <c r="I406" s="6" t="s">
        <v>402</v>
      </c>
      <c r="J406" s="6" t="s">
        <v>141</v>
      </c>
      <c r="K406" s="54" t="s">
        <v>78</v>
      </c>
      <c r="L406" s="6">
        <v>476</v>
      </c>
      <c r="M406" s="55" t="s">
        <v>749</v>
      </c>
      <c r="N406" s="56" t="s">
        <v>61</v>
      </c>
      <c r="O406" s="57"/>
      <c r="P406" s="56"/>
      <c r="Q406" s="53"/>
    </row>
    <row r="407" spans="1:17" ht="19.75" customHeight="1">
      <c r="A407" s="6"/>
      <c r="B407" s="6"/>
      <c r="C407" s="6" t="s">
        <v>700</v>
      </c>
      <c r="D407" s="6"/>
      <c r="E407" s="6" t="s">
        <v>640</v>
      </c>
      <c r="F407" s="6"/>
      <c r="G407" s="6"/>
      <c r="H407" s="5" t="s">
        <v>53</v>
      </c>
      <c r="I407" s="6" t="s">
        <v>402</v>
      </c>
      <c r="J407" s="6" t="s">
        <v>141</v>
      </c>
      <c r="K407" s="54" t="s">
        <v>78</v>
      </c>
      <c r="L407" s="6">
        <v>476</v>
      </c>
      <c r="M407" s="55" t="s">
        <v>92</v>
      </c>
      <c r="N407" s="56" t="s">
        <v>641</v>
      </c>
      <c r="O407" s="68"/>
      <c r="P407" s="56"/>
      <c r="Q407" s="56"/>
    </row>
    <row r="408" spans="1:17" ht="19.75" customHeight="1">
      <c r="A408" s="6"/>
      <c r="B408" s="6"/>
      <c r="C408" s="6" t="s">
        <v>423</v>
      </c>
      <c r="D408" s="53"/>
      <c r="E408" s="6"/>
      <c r="F408" s="6"/>
      <c r="G408" s="6"/>
      <c r="H408" s="29" t="s">
        <v>53</v>
      </c>
      <c r="I408" s="4" t="s">
        <v>415</v>
      </c>
      <c r="J408" s="6" t="s">
        <v>420</v>
      </c>
      <c r="K408" s="54" t="s">
        <v>562</v>
      </c>
      <c r="L408" s="6">
        <v>680</v>
      </c>
      <c r="M408" s="55" t="s">
        <v>42</v>
      </c>
      <c r="N408" s="56" t="s">
        <v>421</v>
      </c>
      <c r="O408" s="57"/>
      <c r="P408" s="56"/>
      <c r="Q408" s="53"/>
    </row>
    <row r="409" spans="1:17" ht="19.75" customHeight="1">
      <c r="A409" s="6"/>
      <c r="B409" s="6"/>
      <c r="C409" s="6" t="s">
        <v>436</v>
      </c>
      <c r="D409" s="53"/>
      <c r="E409" s="6"/>
      <c r="F409" s="6"/>
      <c r="G409" s="6"/>
      <c r="H409" s="29" t="s">
        <v>54</v>
      </c>
      <c r="I409" s="4" t="s">
        <v>437</v>
      </c>
      <c r="J409" s="6" t="s">
        <v>40</v>
      </c>
      <c r="K409" s="54" t="s">
        <v>562</v>
      </c>
      <c r="L409" s="6">
        <v>103</v>
      </c>
      <c r="M409" s="55" t="s">
        <v>92</v>
      </c>
      <c r="N409" s="56" t="s">
        <v>418</v>
      </c>
      <c r="O409" s="57"/>
      <c r="P409" s="56"/>
      <c r="Q409" s="53"/>
    </row>
    <row r="410" spans="1:17" ht="19.75" customHeight="1">
      <c r="A410" s="18"/>
      <c r="B410" s="18"/>
      <c r="C410" s="18" t="s">
        <v>401</v>
      </c>
      <c r="D410" s="18"/>
      <c r="E410" s="18" t="s">
        <v>408</v>
      </c>
      <c r="F410" s="18"/>
      <c r="G410" s="18"/>
      <c r="H410" s="19" t="s">
        <v>54</v>
      </c>
      <c r="I410" s="18" t="s">
        <v>404</v>
      </c>
      <c r="J410" s="18" t="s">
        <v>403</v>
      </c>
      <c r="K410" s="30" t="s">
        <v>562</v>
      </c>
      <c r="L410" s="18">
        <v>106</v>
      </c>
      <c r="M410" s="28" t="s">
        <v>92</v>
      </c>
      <c r="N410" s="20" t="s">
        <v>369</v>
      </c>
      <c r="O410" s="20"/>
      <c r="P410" s="20"/>
      <c r="Q410" s="20"/>
    </row>
    <row r="411" spans="1:17" ht="19.75" customHeight="1">
      <c r="A411" s="6"/>
      <c r="B411" s="6"/>
      <c r="C411" s="6" t="s">
        <v>532</v>
      </c>
      <c r="D411" s="53"/>
      <c r="E411" s="6"/>
      <c r="F411" s="6"/>
      <c r="G411" s="6"/>
      <c r="H411" s="5" t="s">
        <v>54</v>
      </c>
      <c r="I411" s="4" t="s">
        <v>536</v>
      </c>
      <c r="J411" s="6" t="s">
        <v>403</v>
      </c>
      <c r="K411" s="54" t="s">
        <v>562</v>
      </c>
      <c r="L411" s="6">
        <v>106</v>
      </c>
      <c r="M411" s="55" t="s">
        <v>92</v>
      </c>
      <c r="N411" s="56" t="s">
        <v>369</v>
      </c>
      <c r="O411" s="57"/>
      <c r="P411" s="56"/>
      <c r="Q411" s="53"/>
    </row>
    <row r="412" spans="1:17" ht="19.75" customHeight="1">
      <c r="A412" s="6"/>
      <c r="B412" s="6"/>
      <c r="C412" s="6" t="s">
        <v>533</v>
      </c>
      <c r="D412" s="53"/>
      <c r="E412" s="6"/>
      <c r="F412" s="6"/>
      <c r="G412" s="6"/>
      <c r="H412" s="5" t="s">
        <v>54</v>
      </c>
      <c r="I412" s="4" t="s">
        <v>536</v>
      </c>
      <c r="J412" s="6" t="s">
        <v>403</v>
      </c>
      <c r="K412" s="54" t="s">
        <v>562</v>
      </c>
      <c r="L412" s="6">
        <v>106</v>
      </c>
      <c r="M412" s="55" t="s">
        <v>92</v>
      </c>
      <c r="N412" s="56" t="s">
        <v>369</v>
      </c>
      <c r="O412" s="57"/>
      <c r="P412" s="56"/>
      <c r="Q412" s="53"/>
    </row>
    <row r="413" spans="1:17" ht="19.75" customHeight="1">
      <c r="A413" s="6" t="s">
        <v>658</v>
      </c>
      <c r="B413" s="6"/>
      <c r="C413" s="6"/>
      <c r="D413" s="53"/>
      <c r="E413" s="6" t="s">
        <v>740</v>
      </c>
      <c r="F413" s="6"/>
      <c r="G413" s="6"/>
      <c r="H413" s="5" t="s">
        <v>54</v>
      </c>
      <c r="I413" s="4" t="s">
        <v>536</v>
      </c>
      <c r="J413" s="6" t="s">
        <v>403</v>
      </c>
      <c r="K413" s="54" t="s">
        <v>562</v>
      </c>
      <c r="L413" s="6">
        <v>106</v>
      </c>
      <c r="M413" s="55" t="s">
        <v>92</v>
      </c>
      <c r="N413" s="56" t="s">
        <v>659</v>
      </c>
      <c r="O413" s="57"/>
      <c r="P413" s="56"/>
      <c r="Q413" s="53"/>
    </row>
    <row r="414" spans="1:17" ht="19.75" customHeight="1">
      <c r="A414" s="6"/>
      <c r="B414" s="6"/>
      <c r="C414" s="6" t="s">
        <v>495</v>
      </c>
      <c r="D414" s="53"/>
      <c r="E414" s="6"/>
      <c r="F414" s="6"/>
      <c r="G414" s="6"/>
      <c r="H414" s="5" t="s">
        <v>54</v>
      </c>
      <c r="I414" s="4" t="s">
        <v>536</v>
      </c>
      <c r="J414" s="6" t="s">
        <v>368</v>
      </c>
      <c r="K414" s="54" t="s">
        <v>562</v>
      </c>
      <c r="L414" s="6">
        <v>106</v>
      </c>
      <c r="M414" s="55" t="s">
        <v>92</v>
      </c>
      <c r="N414" s="56" t="s">
        <v>375</v>
      </c>
      <c r="O414" s="57"/>
      <c r="P414" s="56"/>
      <c r="Q414" s="53"/>
    </row>
    <row r="415" spans="1:17" ht="19.75" customHeight="1">
      <c r="A415" s="6"/>
      <c r="B415" s="6"/>
      <c r="C415" s="6" t="s">
        <v>433</v>
      </c>
      <c r="D415" s="53"/>
      <c r="E415" s="6"/>
      <c r="F415" s="6"/>
      <c r="G415" s="6"/>
      <c r="H415" s="29" t="s">
        <v>54</v>
      </c>
      <c r="I415" s="4" t="s">
        <v>434</v>
      </c>
      <c r="J415" s="6" t="s">
        <v>40</v>
      </c>
      <c r="K415" s="54" t="s">
        <v>562</v>
      </c>
      <c r="L415" s="6">
        <v>224</v>
      </c>
      <c r="M415" s="55" t="s">
        <v>92</v>
      </c>
      <c r="N415" s="56" t="s">
        <v>432</v>
      </c>
      <c r="O415" s="57"/>
      <c r="P415" s="56"/>
      <c r="Q415" s="53"/>
    </row>
    <row r="416" spans="1:17" ht="19.75" customHeight="1">
      <c r="A416" s="6"/>
      <c r="B416" s="6"/>
      <c r="C416" s="6" t="s">
        <v>741</v>
      </c>
      <c r="D416" s="53"/>
      <c r="E416" s="6"/>
      <c r="F416" s="6"/>
      <c r="G416" s="6"/>
      <c r="H416" s="5" t="s">
        <v>54</v>
      </c>
      <c r="I416" s="4" t="s">
        <v>536</v>
      </c>
      <c r="J416" s="6" t="s">
        <v>403</v>
      </c>
      <c r="K416" s="54" t="s">
        <v>562</v>
      </c>
      <c r="L416" s="6">
        <v>225</v>
      </c>
      <c r="M416" s="55" t="s">
        <v>92</v>
      </c>
      <c r="N416" s="56" t="s">
        <v>660</v>
      </c>
      <c r="O416" s="57"/>
      <c r="P416" s="56"/>
      <c r="Q416" s="53"/>
    </row>
    <row r="417" spans="1:17" ht="19.75" customHeight="1">
      <c r="A417" s="18" t="s">
        <v>687</v>
      </c>
      <c r="B417" s="18"/>
      <c r="C417" s="18"/>
      <c r="D417" s="71"/>
      <c r="E417" s="18" t="s">
        <v>733</v>
      </c>
      <c r="F417" s="18"/>
      <c r="G417" s="18"/>
      <c r="H417" s="19" t="s">
        <v>54</v>
      </c>
      <c r="I417" s="12" t="s">
        <v>536</v>
      </c>
      <c r="J417" s="18" t="s">
        <v>141</v>
      </c>
      <c r="K417" s="30" t="s">
        <v>78</v>
      </c>
      <c r="L417" s="18">
        <v>226</v>
      </c>
      <c r="M417" s="28" t="s">
        <v>92</v>
      </c>
      <c r="N417" s="20" t="s">
        <v>367</v>
      </c>
      <c r="O417" s="72"/>
      <c r="P417" s="20"/>
      <c r="Q417" s="71"/>
    </row>
    <row r="418" spans="1:17" ht="19.75" customHeight="1">
      <c r="A418" s="6"/>
      <c r="B418" s="6"/>
      <c r="C418" s="6" t="s">
        <v>529</v>
      </c>
      <c r="D418" s="53"/>
      <c r="E418" s="6"/>
      <c r="F418" s="6"/>
      <c r="G418" s="6"/>
      <c r="H418" s="5" t="s">
        <v>54</v>
      </c>
      <c r="I418" s="4" t="s">
        <v>536</v>
      </c>
      <c r="J418" s="6" t="s">
        <v>403</v>
      </c>
      <c r="K418" s="54" t="s">
        <v>562</v>
      </c>
      <c r="L418" s="6">
        <v>226</v>
      </c>
      <c r="M418" s="55" t="s">
        <v>92</v>
      </c>
      <c r="N418" s="56" t="s">
        <v>367</v>
      </c>
      <c r="O418" s="57"/>
      <c r="P418" s="56"/>
      <c r="Q418" s="53"/>
    </row>
    <row r="419" spans="1:17" ht="19.75" customHeight="1">
      <c r="A419" s="6"/>
      <c r="B419" s="6"/>
      <c r="C419" s="6" t="s">
        <v>530</v>
      </c>
      <c r="D419" s="53"/>
      <c r="E419" s="6"/>
      <c r="F419" s="6"/>
      <c r="G419" s="6"/>
      <c r="H419" s="5" t="s">
        <v>54</v>
      </c>
      <c r="I419" s="4" t="s">
        <v>536</v>
      </c>
      <c r="J419" s="6" t="s">
        <v>403</v>
      </c>
      <c r="K419" s="54" t="s">
        <v>562</v>
      </c>
      <c r="L419" s="6">
        <v>226</v>
      </c>
      <c r="M419" s="55" t="s">
        <v>92</v>
      </c>
      <c r="N419" s="56" t="s">
        <v>367</v>
      </c>
      <c r="O419" s="57"/>
      <c r="P419" s="56"/>
      <c r="Q419" s="53"/>
    </row>
    <row r="420" spans="1:17" ht="19.75" customHeight="1">
      <c r="A420" s="6"/>
      <c r="B420" s="6"/>
      <c r="C420" s="6" t="s">
        <v>531</v>
      </c>
      <c r="D420" s="53"/>
      <c r="E420" s="6"/>
      <c r="F420" s="6"/>
      <c r="G420" s="6"/>
      <c r="H420" s="5" t="s">
        <v>54</v>
      </c>
      <c r="I420" s="4" t="s">
        <v>536</v>
      </c>
      <c r="J420" s="6" t="s">
        <v>403</v>
      </c>
      <c r="K420" s="54" t="s">
        <v>562</v>
      </c>
      <c r="L420" s="6">
        <v>226</v>
      </c>
      <c r="M420" s="55" t="s">
        <v>44</v>
      </c>
      <c r="N420" s="56" t="s">
        <v>367</v>
      </c>
      <c r="O420" s="57"/>
      <c r="P420" s="56"/>
      <c r="Q420" s="53"/>
    </row>
    <row r="421" spans="1:17" ht="19.75" customHeight="1">
      <c r="A421" s="18" t="s">
        <v>688</v>
      </c>
      <c r="B421" s="18"/>
      <c r="C421" s="18"/>
      <c r="D421" s="18"/>
      <c r="E421" s="18" t="s">
        <v>642</v>
      </c>
      <c r="F421" s="18"/>
      <c r="G421" s="18"/>
      <c r="H421" s="19" t="s">
        <v>54</v>
      </c>
      <c r="I421" s="18" t="s">
        <v>536</v>
      </c>
      <c r="J421" s="18" t="s">
        <v>403</v>
      </c>
      <c r="K421" s="30" t="s">
        <v>562</v>
      </c>
      <c r="L421" s="18">
        <v>226</v>
      </c>
      <c r="M421" s="28" t="s">
        <v>92</v>
      </c>
      <c r="N421" s="20" t="s">
        <v>643</v>
      </c>
      <c r="O421" s="33"/>
      <c r="P421" s="20"/>
      <c r="Q421" s="20"/>
    </row>
    <row r="422" spans="1:17" ht="19.75" customHeight="1">
      <c r="A422" s="6"/>
      <c r="B422" s="6"/>
      <c r="C422" s="6" t="s">
        <v>435</v>
      </c>
      <c r="D422" s="53"/>
      <c r="E422" s="6"/>
      <c r="F422" s="6"/>
      <c r="G422" s="6"/>
      <c r="H422" s="29" t="s">
        <v>54</v>
      </c>
      <c r="I422" s="4" t="s">
        <v>434</v>
      </c>
      <c r="J422" s="6" t="s">
        <v>40</v>
      </c>
      <c r="K422" s="54" t="s">
        <v>562</v>
      </c>
      <c r="L422" s="6">
        <v>473</v>
      </c>
      <c r="M422" s="55" t="s">
        <v>92</v>
      </c>
      <c r="N422" s="56" t="s">
        <v>421</v>
      </c>
      <c r="O422" s="57"/>
      <c r="P422" s="56"/>
      <c r="Q422" s="53"/>
    </row>
    <row r="423" spans="1:17" ht="19.75" customHeight="1">
      <c r="A423" s="6"/>
      <c r="B423" s="6"/>
      <c r="C423" s="6" t="s">
        <v>496</v>
      </c>
      <c r="D423" s="53"/>
      <c r="E423" s="6"/>
      <c r="F423" s="6"/>
      <c r="G423" s="6"/>
      <c r="H423" s="5" t="s">
        <v>54</v>
      </c>
      <c r="I423" s="4" t="s">
        <v>536</v>
      </c>
      <c r="J423" s="6"/>
      <c r="K423" s="54" t="s">
        <v>78</v>
      </c>
      <c r="L423" s="6">
        <v>475</v>
      </c>
      <c r="M423" s="55" t="s">
        <v>92</v>
      </c>
      <c r="N423" s="56" t="s">
        <v>369</v>
      </c>
      <c r="O423" s="57"/>
      <c r="P423" s="56"/>
      <c r="Q423" s="53"/>
    </row>
    <row r="424" spans="1:17" ht="19.75" customHeight="1">
      <c r="A424" s="6"/>
      <c r="B424" s="6"/>
      <c r="C424" s="6" t="s">
        <v>497</v>
      </c>
      <c r="D424" s="53"/>
      <c r="E424" s="6"/>
      <c r="F424" s="6"/>
      <c r="G424" s="6"/>
      <c r="H424" s="5" t="s">
        <v>54</v>
      </c>
      <c r="I424" s="4" t="s">
        <v>536</v>
      </c>
      <c r="J424" s="6" t="s">
        <v>403</v>
      </c>
      <c r="K424" s="54" t="s">
        <v>562</v>
      </c>
      <c r="L424" s="6">
        <v>475</v>
      </c>
      <c r="M424" s="55" t="s">
        <v>92</v>
      </c>
      <c r="N424" s="56" t="s">
        <v>375</v>
      </c>
      <c r="O424" s="57"/>
      <c r="P424" s="56"/>
      <c r="Q424" s="53"/>
    </row>
    <row r="425" spans="1:17" ht="19.75" customHeight="1">
      <c r="A425" s="6"/>
      <c r="B425" s="6"/>
      <c r="C425" s="6" t="s">
        <v>534</v>
      </c>
      <c r="D425" s="53"/>
      <c r="E425" s="6"/>
      <c r="F425" s="6"/>
      <c r="G425" s="6"/>
      <c r="H425" s="5" t="s">
        <v>54</v>
      </c>
      <c r="I425" s="4" t="s">
        <v>536</v>
      </c>
      <c r="J425" s="6" t="s">
        <v>403</v>
      </c>
      <c r="K425" s="54" t="s">
        <v>562</v>
      </c>
      <c r="L425" s="6">
        <v>475</v>
      </c>
      <c r="M425" s="55" t="s">
        <v>92</v>
      </c>
      <c r="N425" s="56" t="s">
        <v>375</v>
      </c>
      <c r="O425" s="57"/>
      <c r="P425" s="56"/>
      <c r="Q425" s="53"/>
    </row>
    <row r="426" spans="1:17" ht="19.75" customHeight="1">
      <c r="A426" s="6"/>
      <c r="B426" s="6"/>
      <c r="C426" s="6" t="s">
        <v>535</v>
      </c>
      <c r="D426" s="53"/>
      <c r="E426" s="6"/>
      <c r="F426" s="6"/>
      <c r="G426" s="6"/>
      <c r="H426" s="5" t="s">
        <v>54</v>
      </c>
      <c r="I426" s="4" t="s">
        <v>536</v>
      </c>
      <c r="J426" s="6" t="s">
        <v>403</v>
      </c>
      <c r="K426" s="54" t="s">
        <v>562</v>
      </c>
      <c r="L426" s="6">
        <v>475</v>
      </c>
      <c r="M426" s="55" t="s">
        <v>92</v>
      </c>
      <c r="N426" s="56" t="s">
        <v>375</v>
      </c>
      <c r="O426" s="57"/>
      <c r="P426" s="56"/>
      <c r="Q426" s="53"/>
    </row>
    <row r="427" spans="1:17" ht="19.75" customHeight="1">
      <c r="A427" s="12"/>
      <c r="B427" s="12"/>
      <c r="C427" s="12" t="s">
        <v>123</v>
      </c>
      <c r="D427" s="12"/>
      <c r="E427" s="12" t="s">
        <v>734</v>
      </c>
      <c r="F427" s="12"/>
      <c r="G427" s="12"/>
      <c r="H427" s="13" t="s">
        <v>54</v>
      </c>
      <c r="I427" s="12" t="s">
        <v>124</v>
      </c>
      <c r="J427" s="14" t="s">
        <v>105</v>
      </c>
      <c r="K427" s="15" t="s">
        <v>78</v>
      </c>
      <c r="L427" s="12">
        <v>476</v>
      </c>
      <c r="M427" s="28" t="s">
        <v>20</v>
      </c>
      <c r="N427" s="16" t="s">
        <v>126</v>
      </c>
      <c r="O427" s="12"/>
      <c r="P427" s="12"/>
      <c r="Q427" s="12"/>
    </row>
    <row r="428" spans="1:17" ht="19.75" customHeight="1">
      <c r="A428" s="6"/>
      <c r="B428" s="6"/>
      <c r="C428" s="6" t="s">
        <v>527</v>
      </c>
      <c r="D428" s="53"/>
      <c r="E428" s="6"/>
      <c r="F428" s="6"/>
      <c r="G428" s="6"/>
      <c r="H428" s="5" t="s">
        <v>54</v>
      </c>
      <c r="I428" s="4" t="s">
        <v>536</v>
      </c>
      <c r="J428" s="6" t="s">
        <v>403</v>
      </c>
      <c r="K428" s="54" t="s">
        <v>562</v>
      </c>
      <c r="L428" s="6">
        <v>476</v>
      </c>
      <c r="M428" s="55" t="s">
        <v>92</v>
      </c>
      <c r="N428" s="56" t="s">
        <v>361</v>
      </c>
      <c r="O428" s="57"/>
      <c r="P428" s="56"/>
      <c r="Q428" s="53"/>
    </row>
    <row r="429" spans="1:17" ht="19.75" customHeight="1">
      <c r="A429" s="6"/>
      <c r="B429" s="6"/>
      <c r="C429" s="6" t="s">
        <v>528</v>
      </c>
      <c r="D429" s="53"/>
      <c r="E429" s="6"/>
      <c r="F429" s="6"/>
      <c r="G429" s="6"/>
      <c r="H429" s="5" t="s">
        <v>54</v>
      </c>
      <c r="I429" s="4" t="s">
        <v>536</v>
      </c>
      <c r="J429" s="6" t="s">
        <v>403</v>
      </c>
      <c r="K429" s="54" t="s">
        <v>562</v>
      </c>
      <c r="L429" s="6">
        <v>476</v>
      </c>
      <c r="M429" s="55" t="s">
        <v>44</v>
      </c>
      <c r="N429" s="56" t="s">
        <v>361</v>
      </c>
      <c r="O429" s="57"/>
      <c r="P429" s="56"/>
      <c r="Q429" s="53"/>
    </row>
    <row r="430" spans="1:17" ht="19.75" customHeight="1">
      <c r="A430" s="6"/>
      <c r="B430" s="6"/>
      <c r="C430" s="6"/>
      <c r="D430" s="53"/>
      <c r="E430" s="6"/>
      <c r="F430" s="6"/>
      <c r="G430" s="6"/>
      <c r="H430" s="5"/>
      <c r="I430" s="4"/>
      <c r="J430" s="6"/>
      <c r="K430" s="54"/>
      <c r="L430" s="6"/>
      <c r="M430" s="55"/>
      <c r="N430" s="56"/>
      <c r="O430" s="57"/>
      <c r="P430" s="56"/>
      <c r="Q430" s="53"/>
    </row>
    <row r="431" spans="1:17" ht="19.75" customHeight="1">
      <c r="A431" s="6"/>
      <c r="B431" s="6"/>
      <c r="C431" s="6"/>
      <c r="D431" s="53"/>
      <c r="E431" s="6"/>
      <c r="F431" s="6"/>
      <c r="G431" s="6"/>
      <c r="H431" s="5"/>
      <c r="I431" s="4"/>
      <c r="J431" s="6"/>
      <c r="K431" s="54"/>
      <c r="L431" s="6"/>
      <c r="M431" s="55"/>
      <c r="N431" s="56"/>
      <c r="O431" s="57"/>
      <c r="P431" s="56"/>
      <c r="Q431" s="53"/>
    </row>
    <row r="432" spans="1:17" ht="19.75" customHeight="1">
      <c r="A432" s="6"/>
      <c r="B432" s="6"/>
      <c r="C432" s="6"/>
      <c r="D432" s="53"/>
      <c r="E432" s="6"/>
      <c r="F432" s="6"/>
      <c r="G432" s="6"/>
      <c r="H432" s="5"/>
      <c r="I432" s="4"/>
      <c r="J432" s="6"/>
      <c r="K432" s="54"/>
      <c r="L432" s="6"/>
      <c r="M432" s="55"/>
      <c r="N432" s="56"/>
      <c r="O432" s="57"/>
      <c r="P432" s="56"/>
      <c r="Q432" s="53"/>
    </row>
    <row r="433" spans="1:17" ht="19.75" customHeight="1">
      <c r="A433" s="6"/>
      <c r="B433" s="6"/>
      <c r="C433" s="6"/>
      <c r="D433" s="53"/>
      <c r="E433" s="6"/>
      <c r="F433" s="6"/>
      <c r="G433" s="6"/>
      <c r="H433" s="5"/>
      <c r="I433" s="4"/>
      <c r="J433" s="6"/>
      <c r="K433" s="54"/>
      <c r="L433" s="6"/>
      <c r="M433" s="55"/>
      <c r="N433" s="56"/>
      <c r="O433" s="57"/>
      <c r="P433" s="56"/>
      <c r="Q433" s="53"/>
    </row>
    <row r="434" spans="1:17" ht="19.75" customHeight="1">
      <c r="A434" s="6"/>
      <c r="B434" s="6"/>
      <c r="C434" s="6"/>
      <c r="D434" s="53"/>
      <c r="E434" s="6"/>
      <c r="F434" s="6"/>
      <c r="G434" s="6"/>
      <c r="H434" s="5"/>
      <c r="I434" s="4"/>
      <c r="J434" s="6"/>
      <c r="K434" s="54"/>
      <c r="L434" s="6"/>
      <c r="M434" s="55"/>
      <c r="N434" s="56"/>
      <c r="O434" s="57"/>
      <c r="P434" s="56"/>
      <c r="Q434" s="53"/>
    </row>
    <row r="435" spans="1:17" ht="19.75" customHeight="1">
      <c r="A435" s="6"/>
      <c r="B435" s="6"/>
      <c r="C435" s="6"/>
      <c r="D435" s="53"/>
      <c r="E435" s="6"/>
      <c r="F435" s="6"/>
      <c r="G435" s="6"/>
      <c r="H435" s="5"/>
      <c r="I435" s="4"/>
      <c r="J435" s="6"/>
      <c r="K435" s="54"/>
      <c r="L435" s="6"/>
      <c r="M435" s="55"/>
      <c r="N435" s="56"/>
      <c r="O435" s="57"/>
      <c r="P435" s="56"/>
      <c r="Q435" s="53"/>
    </row>
    <row r="436" spans="1:17" ht="19.75" customHeight="1">
      <c r="A436" s="6"/>
      <c r="B436" s="6"/>
      <c r="C436" s="6"/>
      <c r="D436" s="53"/>
      <c r="E436" s="6"/>
      <c r="F436" s="6"/>
      <c r="G436" s="6"/>
      <c r="H436" s="5"/>
      <c r="I436" s="4"/>
      <c r="J436" s="6"/>
      <c r="K436" s="54"/>
      <c r="L436" s="6"/>
      <c r="M436" s="55"/>
      <c r="N436" s="56"/>
      <c r="O436" s="57"/>
      <c r="P436" s="56"/>
      <c r="Q436" s="53"/>
    </row>
    <row r="437" spans="1:17" ht="19.75" customHeight="1">
      <c r="A437" s="6"/>
      <c r="B437" s="6"/>
      <c r="C437" s="6"/>
      <c r="D437" s="53"/>
      <c r="E437" s="6"/>
      <c r="F437" s="6"/>
      <c r="G437" s="6"/>
      <c r="H437" s="5"/>
      <c r="I437" s="4"/>
      <c r="J437" s="6"/>
      <c r="K437" s="54"/>
      <c r="L437" s="6"/>
      <c r="M437" s="55"/>
      <c r="N437" s="56"/>
      <c r="O437" s="57"/>
      <c r="P437" s="56"/>
      <c r="Q437" s="53"/>
    </row>
  </sheetData>
  <autoFilter ref="A1:R429" xr:uid="{2E0E8D91-EFA3-4173-86CA-B29C45DD6449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A79E-603D-463E-BF63-EEE30978C3E9}">
  <sheetPr filterMode="1"/>
  <dimension ref="A1:J23"/>
  <sheetViews>
    <sheetView workbookViewId="0">
      <selection activeCell="A10" sqref="A10"/>
    </sheetView>
  </sheetViews>
  <sheetFormatPr defaultRowHeight="17"/>
  <cols>
    <col min="1" max="1" width="28.54296875" bestFit="1" customWidth="1"/>
    <col min="2" max="2" width="24.08984375" bestFit="1" customWidth="1"/>
    <col min="3" max="3" width="23.81640625" bestFit="1" customWidth="1"/>
    <col min="4" max="4" width="18.54296875" bestFit="1" customWidth="1"/>
    <col min="5" max="5" width="9.453125" hidden="1" customWidth="1"/>
    <col min="6" max="6" width="6" bestFit="1" customWidth="1"/>
    <col min="7" max="7" width="15.6328125" hidden="1" customWidth="1"/>
    <col min="8" max="8" width="6" bestFit="1" customWidth="1"/>
    <col min="9" max="9" width="7.90625" bestFit="1" customWidth="1"/>
    <col min="10" max="10" width="6.08984375" bestFit="1" customWidth="1"/>
  </cols>
  <sheetData>
    <row r="1" spans="1:10">
      <c r="A1" s="80" t="s">
        <v>55</v>
      </c>
      <c r="B1" s="81" t="s">
        <v>801</v>
      </c>
      <c r="C1" s="81" t="s">
        <v>130</v>
      </c>
      <c r="D1" s="81" t="s">
        <v>802</v>
      </c>
      <c r="E1" s="81" t="s">
        <v>803</v>
      </c>
      <c r="F1" s="81" t="s">
        <v>804</v>
      </c>
      <c r="G1" s="81" t="s">
        <v>805</v>
      </c>
      <c r="H1" s="81" t="s">
        <v>806</v>
      </c>
      <c r="I1" s="81" t="s">
        <v>807</v>
      </c>
      <c r="J1" s="81" t="s">
        <v>808</v>
      </c>
    </row>
    <row r="2" spans="1:10" hidden="1">
      <c r="A2" s="82" t="s">
        <v>74</v>
      </c>
      <c r="B2" s="82"/>
      <c r="C2" s="82"/>
      <c r="D2" s="81" t="str">
        <f>VLOOKUP(A2,'MLCC 所有品牌資訊匯總'!$C:$N,6,0)</f>
        <v>0.6 x 0.3(0201)</v>
      </c>
      <c r="E2" s="81" t="str">
        <f>VLOOKUP(A2,'MLCC 所有品牌資訊匯總'!$C:$N,7,0)</f>
        <v>0.3mm</v>
      </c>
      <c r="F2" s="81" t="str">
        <f>VLOOKUP(A2,'MLCC 所有品牌資訊匯總'!$C:$N,8,0)</f>
        <v>X6S</v>
      </c>
      <c r="G2" s="81" t="str">
        <f>VLOOKUP(A2,'MLCC 所有品牌資訊匯總'!$C:$N,9,0)</f>
        <v xml:space="preserve">-55 to 105℃  </v>
      </c>
      <c r="H2" s="81">
        <f>VLOOKUP(A2,'MLCC 所有品牌資訊匯總'!$C:$N,10,0)</f>
        <v>104</v>
      </c>
      <c r="I2" s="81" t="str">
        <f>VLOOKUP(A2,'MLCC 所有品牌資訊匯總'!$C:$N,11,0)</f>
        <v>±10 %</v>
      </c>
      <c r="J2" s="81" t="str">
        <f>VLOOKUP(A2,'MLCC 所有品牌資訊匯總'!$C:$N,12,0)</f>
        <v>16V</v>
      </c>
    </row>
    <row r="3" spans="1:10" hidden="1">
      <c r="A3" s="82" t="s">
        <v>809</v>
      </c>
      <c r="B3" s="82"/>
      <c r="C3" s="82"/>
      <c r="D3" s="81" t="str">
        <f>VLOOKUP(A3,'MLCC 所有品牌資訊匯總'!$C:$N,6,0)</f>
        <v>0.6 x 0.3(0201)</v>
      </c>
      <c r="E3" s="81" t="str">
        <f>VLOOKUP(A3,'MLCC 所有品牌資訊匯總'!$C:$N,7,0)</f>
        <v>0.3mm</v>
      </c>
      <c r="F3" s="81" t="str">
        <f>VLOOKUP(A3,'MLCC 所有品牌資訊匯總'!$C:$N,8,0)</f>
        <v>X5R</v>
      </c>
      <c r="G3" s="81" t="str">
        <f>VLOOKUP(A3,'MLCC 所有品牌資訊匯總'!$C:$N,9,0)</f>
        <v>-55 to 85℃</v>
      </c>
      <c r="H3" s="81">
        <f>VLOOKUP(A3,'MLCC 所有品牌資訊匯總'!$C:$N,10,0)</f>
        <v>224</v>
      </c>
      <c r="I3" s="81" t="str">
        <f>VLOOKUP(A3,'MLCC 所有品牌資訊匯總'!$C:$N,11,0)</f>
        <v>±10 %</v>
      </c>
      <c r="J3" s="81" t="str">
        <f>VLOOKUP(A3,'MLCC 所有品牌資訊匯總'!$C:$N,12,0)</f>
        <v>10V</v>
      </c>
    </row>
    <row r="4" spans="1:10" hidden="1">
      <c r="A4" s="82" t="s">
        <v>810</v>
      </c>
      <c r="B4" s="82"/>
      <c r="C4" s="82"/>
      <c r="D4" s="81" t="str">
        <f>VLOOKUP(A4,'MLCC 所有品牌資訊匯總'!$C:$N,6,0)</f>
        <v>0.6 x 0.3(0201)</v>
      </c>
      <c r="E4" s="81" t="str">
        <f>VLOOKUP(A4,'MLCC 所有品牌資訊匯總'!$C:$N,7,0)</f>
        <v>0.3mm</v>
      </c>
      <c r="F4" s="81" t="str">
        <f>VLOOKUP(A4,'MLCC 所有品牌資訊匯總'!$C:$N,8,0)</f>
        <v>X5R</v>
      </c>
      <c r="G4" s="81" t="str">
        <f>VLOOKUP(A4,'MLCC 所有品牌資訊匯總'!$C:$N,9,0)</f>
        <v>-55 to 85℃</v>
      </c>
      <c r="H4" s="81">
        <f>VLOOKUP(A4,'MLCC 所有品牌資訊匯總'!$C:$N,10,0)</f>
        <v>105</v>
      </c>
      <c r="I4" s="81" t="str">
        <f>VLOOKUP(A4,'MLCC 所有品牌資訊匯總'!$C:$N,11,0)</f>
        <v>±20 %</v>
      </c>
      <c r="J4" s="81" t="str">
        <f>VLOOKUP(A4,'MLCC 所有品牌資訊匯總'!$C:$N,12,0)</f>
        <v>10V</v>
      </c>
    </row>
    <row r="5" spans="1:10" hidden="1">
      <c r="A5" s="82" t="s">
        <v>655</v>
      </c>
      <c r="B5" s="82"/>
      <c r="C5" s="82"/>
      <c r="D5" s="81" t="str">
        <f>VLOOKUP(A5,'MLCC 所有品牌資訊匯總'!$C:$N,6,0)</f>
        <v>0.6 x 0.3(0201)</v>
      </c>
      <c r="E5" s="81" t="str">
        <f>VLOOKUP(A5,'MLCC 所有品牌資訊匯總'!$C:$N,7,0)</f>
        <v>0.3mm</v>
      </c>
      <c r="F5" s="81" t="str">
        <f>VLOOKUP(A5,'MLCC 所有品牌資訊匯總'!$C:$N,8,0)</f>
        <v>X5R</v>
      </c>
      <c r="G5" s="81" t="str">
        <f>VLOOKUP(A5,'MLCC 所有品牌資訊匯總'!$C:$N,9,0)</f>
        <v>-55 to 85℃</v>
      </c>
      <c r="H5" s="81">
        <f>VLOOKUP(A5,'MLCC 所有品牌資訊匯總'!$C:$N,10,0)</f>
        <v>225</v>
      </c>
      <c r="I5" s="81" t="str">
        <f>VLOOKUP(A5,'MLCC 所有品牌資訊匯總'!$C:$N,11,0)</f>
        <v>±20 %</v>
      </c>
      <c r="J5" s="81" t="str">
        <f>VLOOKUP(A5,'MLCC 所有品牌資訊匯總'!$C:$N,12,0)</f>
        <v>6.3V</v>
      </c>
    </row>
    <row r="6" spans="1:10" hidden="1">
      <c r="A6" s="82" t="s">
        <v>811</v>
      </c>
      <c r="B6" s="82"/>
      <c r="C6" s="82"/>
      <c r="D6" s="81" t="str">
        <f>VLOOKUP(A6,'MLCC 所有品牌資訊匯總'!$C:$N,6,0)</f>
        <v>0.6 x 0.3(0201)</v>
      </c>
      <c r="E6" s="81" t="str">
        <f>VLOOKUP(A6,'MLCC 所有品牌資訊匯總'!$C:$N,7,0)</f>
        <v>0.3mm</v>
      </c>
      <c r="F6" s="81" t="str">
        <f>VLOOKUP(A6,'MLCC 所有品牌資訊匯總'!$C:$N,8,0)</f>
        <v>X5R</v>
      </c>
      <c r="G6" s="81" t="str">
        <f>VLOOKUP(A6,'MLCC 所有品牌資訊匯總'!$C:$N,9,0)</f>
        <v>-55 to 85℃</v>
      </c>
      <c r="H6" s="81">
        <f>VLOOKUP(A6,'MLCC 所有品牌資訊匯總'!$C:$N,10,0)</f>
        <v>225</v>
      </c>
      <c r="I6" s="81" t="str">
        <f>VLOOKUP(A6,'MLCC 所有品牌資訊匯總'!$C:$N,11,0)</f>
        <v>±10 %</v>
      </c>
      <c r="J6" s="81" t="str">
        <f>VLOOKUP(A6,'MLCC 所有品牌資訊匯總'!$C:$N,12,0)</f>
        <v>10V</v>
      </c>
    </row>
    <row r="7" spans="1:10" hidden="1">
      <c r="A7" s="82" t="s">
        <v>555</v>
      </c>
      <c r="B7" s="82"/>
      <c r="C7" s="82"/>
      <c r="D7" s="81" t="str">
        <f>VLOOKUP(A7,'MLCC 所有品牌資訊匯總'!$C:$N,6,0)</f>
        <v>1.0 x 0.5(0402)</v>
      </c>
      <c r="E7" s="81" t="str">
        <f>VLOOKUP(A7,'MLCC 所有品牌資訊匯總'!$C:$N,7,0)</f>
        <v>0.5mm</v>
      </c>
      <c r="F7" s="81" t="str">
        <f>VLOOKUP(A7,'MLCC 所有品牌資訊匯總'!$C:$N,8,0)</f>
        <v>X7S</v>
      </c>
      <c r="G7" s="81" t="str">
        <f>VLOOKUP(A7,'MLCC 所有品牌資訊匯總'!$C:$N,9,0)</f>
        <v xml:space="preserve">-55 to 125℃  </v>
      </c>
      <c r="H7" s="81">
        <f>VLOOKUP(A7,'MLCC 所有品牌資訊匯總'!$C:$N,10,0)</f>
        <v>105</v>
      </c>
      <c r="I7" s="81" t="str">
        <f>VLOOKUP(A7,'MLCC 所有品牌資訊匯總'!$C:$N,11,0)</f>
        <v>±10 %</v>
      </c>
      <c r="J7" s="81" t="str">
        <f>VLOOKUP(A7,'MLCC 所有品牌資訊匯總'!$C:$N,12,0)</f>
        <v>10V</v>
      </c>
    </row>
    <row r="8" spans="1:10" hidden="1">
      <c r="A8" s="82" t="s">
        <v>812</v>
      </c>
      <c r="B8" s="82"/>
      <c r="C8" s="82"/>
      <c r="D8" s="81" t="str">
        <f>VLOOKUP(A8,'MLCC 所有品牌資訊匯總'!$C:$N,6,0)</f>
        <v>1.0 x 0.5(0402)</v>
      </c>
      <c r="E8" s="81" t="str">
        <f>VLOOKUP(A8,'MLCC 所有品牌資訊匯總'!$C:$N,7,0)</f>
        <v>0.5mm</v>
      </c>
      <c r="F8" s="81" t="str">
        <f>VLOOKUP(A8,'MLCC 所有品牌資訊匯總'!$C:$N,8,0)</f>
        <v>X5R</v>
      </c>
      <c r="G8" s="81" t="str">
        <f>VLOOKUP(A8,'MLCC 所有品牌資訊匯總'!$C:$N,9,0)</f>
        <v>-55 to 85℃</v>
      </c>
      <c r="H8" s="81">
        <f>VLOOKUP(A8,'MLCC 所有品牌資訊匯總'!$C:$N,10,0)</f>
        <v>105</v>
      </c>
      <c r="I8" s="81" t="str">
        <f>VLOOKUP(A8,'MLCC 所有品牌資訊匯總'!$C:$N,11,0)</f>
        <v>±10 %</v>
      </c>
      <c r="J8" s="81" t="str">
        <f>VLOOKUP(A8,'MLCC 所有品牌資訊匯總'!$C:$N,12,0)</f>
        <v>50V</v>
      </c>
    </row>
    <row r="9" spans="1:10" hidden="1">
      <c r="A9" s="82" t="s">
        <v>813</v>
      </c>
      <c r="B9" s="82"/>
      <c r="C9" s="82"/>
      <c r="D9" s="81" t="str">
        <f>VLOOKUP(A9,'MLCC 所有品牌資訊匯總'!$C:$N,6,0)</f>
        <v>1.0 x 0.5(0402)</v>
      </c>
      <c r="E9" s="81" t="str">
        <f>VLOOKUP(A9,'MLCC 所有品牌資訊匯總'!$C:$N,7,0)</f>
        <v>0.5mm</v>
      </c>
      <c r="F9" s="81" t="str">
        <f>VLOOKUP(A9,'MLCC 所有品牌資訊匯總'!$C:$N,8,0)</f>
        <v>X5R</v>
      </c>
      <c r="G9" s="81" t="str">
        <f>VLOOKUP(A9,'MLCC 所有品牌資訊匯總'!$C:$N,9,0)</f>
        <v>-55 to 85℃</v>
      </c>
      <c r="H9" s="81">
        <f>VLOOKUP(A9,'MLCC 所有品牌資訊匯總'!$C:$N,10,0)</f>
        <v>225</v>
      </c>
      <c r="I9" s="81" t="str">
        <f>VLOOKUP(A9,'MLCC 所有品牌資訊匯總'!$C:$N,11,0)</f>
        <v>±10 %</v>
      </c>
      <c r="J9" s="81" t="str">
        <f>VLOOKUP(A9,'MLCC 所有品牌資訊匯總'!$C:$N,12,0)</f>
        <v>25V</v>
      </c>
    </row>
    <row r="10" spans="1:10">
      <c r="A10" s="82" t="s">
        <v>577</v>
      </c>
      <c r="B10" s="82" t="s">
        <v>814</v>
      </c>
      <c r="C10" s="82"/>
      <c r="D10" s="81" t="str">
        <f>VLOOKUP(A10,'MLCC 所有品牌資訊匯總'!$C:$N,6,0)</f>
        <v>1.0 x 0.5(0402)</v>
      </c>
      <c r="E10" s="81" t="str">
        <f>VLOOKUP(A10,'MLCC 所有品牌資訊匯總'!$C:$N,7,0)</f>
        <v>0.5mm</v>
      </c>
      <c r="F10" s="81" t="str">
        <f>VLOOKUP(A10,'MLCC 所有品牌資訊匯總'!$C:$N,8,0)</f>
        <v>X5R</v>
      </c>
      <c r="G10" s="81" t="str">
        <f>VLOOKUP(A10,'MLCC 所有品牌資訊匯總'!$C:$N,9,0)</f>
        <v>-55 to 85℃</v>
      </c>
      <c r="H10" s="81">
        <f>VLOOKUP(A10,'MLCC 所有品牌資訊匯總'!$C:$N,10,0)</f>
        <v>106</v>
      </c>
      <c r="I10" s="81" t="str">
        <f>VLOOKUP(A10,'MLCC 所有品牌資訊匯總'!$C:$N,11,0)</f>
        <v>±20 %</v>
      </c>
      <c r="J10" s="81" t="str">
        <f>VLOOKUP(A10,'MLCC 所有品牌資訊匯總'!$C:$N,12,0)</f>
        <v>6.3V</v>
      </c>
    </row>
    <row r="11" spans="1:10" hidden="1">
      <c r="A11" s="82" t="s">
        <v>815</v>
      </c>
      <c r="B11" s="82"/>
      <c r="C11" s="82" t="s">
        <v>189</v>
      </c>
      <c r="D11" s="81" t="str">
        <f>VLOOKUP(C11,'MLCC 所有品牌資訊匯總'!$D:$N,5,0)</f>
        <v>1.0 x 0.5(0402)</v>
      </c>
      <c r="E11" s="81"/>
      <c r="F11" s="81" t="str">
        <f>VLOOKUP(C11,'MLCC 所有品牌資訊匯總'!$D:$N,7,0)</f>
        <v>X5R</v>
      </c>
      <c r="G11" s="81" t="str">
        <f>VLOOKUP(C11,'MLCC 所有品牌資訊匯總'!$D:$N,8,0)</f>
        <v>-55 to 85℃</v>
      </c>
      <c r="H11" s="81">
        <f>VLOOKUP(C11,'MLCC 所有品牌資訊匯總'!$D:$N,9,0)</f>
        <v>226</v>
      </c>
      <c r="I11" s="81" t="str">
        <f>VLOOKUP(C11,'MLCC 所有品牌資訊匯總'!$D:$N,10,0)</f>
        <v>±20 %</v>
      </c>
      <c r="J11" s="81" t="str">
        <f>VLOOKUP(C11,'MLCC 所有品牌資訊匯總'!$D:$N,11,0)</f>
        <v>6.3v</v>
      </c>
    </row>
    <row r="12" spans="1:10" hidden="1">
      <c r="A12" s="82" t="s">
        <v>169</v>
      </c>
      <c r="B12" s="82"/>
      <c r="C12" s="82"/>
      <c r="D12" s="81" t="str">
        <f>VLOOKUP(A12,'MLCC 所有品牌資訊匯總'!$C:$N,6,0)</f>
        <v>1.6 x 0.8
(0603)</v>
      </c>
      <c r="E12" s="81" t="str">
        <f>VLOOKUP(A12,'MLCC 所有品牌資訊匯總'!$C:$N,7,0)</f>
        <v>0.8mm</v>
      </c>
      <c r="F12" s="81" t="str">
        <f>VLOOKUP(A12,'MLCC 所有品牌資訊匯總'!$C:$N,8,0)</f>
        <v>X5R</v>
      </c>
      <c r="G12" s="81" t="str">
        <f>VLOOKUP(A12,'MLCC 所有品牌資訊匯總'!$C:$N,9,0)</f>
        <v>-55 to 85℃</v>
      </c>
      <c r="H12" s="81">
        <f>VLOOKUP(A12,'MLCC 所有品牌資訊匯總'!$C:$N,10,0)</f>
        <v>105</v>
      </c>
      <c r="I12" s="81" t="str">
        <f>VLOOKUP(A12,'MLCC 所有品牌資訊匯總'!$C:$N,11,0)</f>
        <v>±10 %</v>
      </c>
      <c r="J12" s="81" t="str">
        <f>VLOOKUP(A12,'MLCC 所有品牌資訊匯總'!$C:$N,12,0)</f>
        <v>25V</v>
      </c>
    </row>
    <row r="13" spans="1:10" hidden="1">
      <c r="A13" s="82" t="s">
        <v>816</v>
      </c>
      <c r="B13" s="82"/>
      <c r="C13" s="82"/>
      <c r="D13" s="81" t="str">
        <f>VLOOKUP(A13,'MLCC 所有品牌資訊匯總'!$C:$N,6,0)</f>
        <v>1.6 x 0.8
(0603)</v>
      </c>
      <c r="E13" s="81" t="str">
        <f>VLOOKUP(A13,'MLCC 所有品牌資訊匯總'!$C:$N,7,0)</f>
        <v>0.8mm</v>
      </c>
      <c r="F13" s="81" t="str">
        <f>VLOOKUP(A13,'MLCC 所有品牌資訊匯總'!$C:$N,8,0)</f>
        <v>X5R</v>
      </c>
      <c r="G13" s="81" t="str">
        <f>VLOOKUP(A13,'MLCC 所有品牌資訊匯總'!$C:$N,9,0)</f>
        <v>-55 to 85℃</v>
      </c>
      <c r="H13" s="81">
        <f>VLOOKUP(A13,'MLCC 所有品牌資訊匯總'!$C:$N,10,0)</f>
        <v>225</v>
      </c>
      <c r="I13" s="81" t="str">
        <f>VLOOKUP(A13,'MLCC 所有品牌資訊匯總'!$C:$N,11,0)</f>
        <v>±10 %</v>
      </c>
      <c r="J13" s="81" t="str">
        <f>VLOOKUP(A13,'MLCC 所有品牌資訊匯總'!$C:$N,12,0)</f>
        <v>50V</v>
      </c>
    </row>
    <row r="14" spans="1:10" hidden="1">
      <c r="A14" s="82" t="s">
        <v>745</v>
      </c>
      <c r="B14" s="82"/>
      <c r="C14" s="82"/>
      <c r="D14" s="81" t="str">
        <f>VLOOKUP(A14,'MLCC 所有品牌資訊匯總'!$C:$N,6,0)</f>
        <v>1.6 x 0.8
(0603)</v>
      </c>
      <c r="E14" s="81" t="str">
        <f>VLOOKUP(A14,'MLCC 所有品牌資訊匯總'!$C:$N,7,0)</f>
        <v>0.8mm</v>
      </c>
      <c r="F14" s="81" t="str">
        <f>VLOOKUP(A14,'MLCC 所有品牌資訊匯總'!$C:$N,8,0)</f>
        <v>X5R</v>
      </c>
      <c r="G14" s="81" t="str">
        <f>VLOOKUP(A14,'MLCC 所有品牌資訊匯總'!$C:$N,9,0)</f>
        <v>-55 to 85℃</v>
      </c>
      <c r="H14" s="81">
        <f>VLOOKUP(A14,'MLCC 所有品牌資訊匯總'!$C:$N,10,0)</f>
        <v>106</v>
      </c>
      <c r="I14" s="81" t="str">
        <f>VLOOKUP(A14,'MLCC 所有品牌資訊匯總'!$C:$N,11,0)</f>
        <v>±20 %</v>
      </c>
      <c r="J14" s="81" t="str">
        <f>VLOOKUP(A14,'MLCC 所有品牌資訊匯總'!$C:$N,12,0)</f>
        <v>10V</v>
      </c>
    </row>
    <row r="15" spans="1:10" hidden="1">
      <c r="A15" s="82" t="s">
        <v>817</v>
      </c>
      <c r="B15" s="82" t="s">
        <v>818</v>
      </c>
      <c r="C15" s="82"/>
      <c r="D15" s="81" t="str">
        <f>VLOOKUP(A15,'MLCC 所有品牌資訊匯總'!$C:$N,6,0)</f>
        <v>2.0 x 1.25
(0805)</v>
      </c>
      <c r="E15" s="81" t="str">
        <f>VLOOKUP(A15,'MLCC 所有品牌資訊匯總'!$C:$N,7,0)</f>
        <v>1.25mm</v>
      </c>
      <c r="F15" s="81" t="str">
        <f>VLOOKUP(A15,'MLCC 所有品牌資訊匯總'!$C:$N,8,0)</f>
        <v>X7R</v>
      </c>
      <c r="G15" s="81" t="str">
        <f>VLOOKUP(A15,'MLCC 所有品牌資訊匯總'!$C:$N,9,0)</f>
        <v xml:space="preserve">-55 to 125℃  </v>
      </c>
      <c r="H15" s="81">
        <f>VLOOKUP(A15,'MLCC 所有品牌資訊匯總'!$C:$N,10,0)</f>
        <v>105</v>
      </c>
      <c r="I15" s="81" t="str">
        <f>VLOOKUP(A15,'MLCC 所有品牌資訊匯總'!$C:$N,11,0)</f>
        <v>±10 %</v>
      </c>
      <c r="J15" s="81" t="str">
        <f>VLOOKUP(A15,'MLCC 所有品牌資訊匯總'!$C:$N,12,0)</f>
        <v>50V</v>
      </c>
    </row>
    <row r="16" spans="1:10" hidden="1">
      <c r="A16" s="82" t="s">
        <v>170</v>
      </c>
      <c r="B16" s="82" t="s">
        <v>819</v>
      </c>
      <c r="C16" s="82"/>
      <c r="D16" s="81" t="str">
        <f>VLOOKUP(A16,'MLCC 所有品牌資訊匯總'!$C:$N,6,0)</f>
        <v>2.0 x 1.25
(0805)</v>
      </c>
      <c r="E16" s="81" t="str">
        <f>VLOOKUP(A16,'MLCC 所有品牌資訊匯總'!$C:$N,7,0)</f>
        <v>1.25mm</v>
      </c>
      <c r="F16" s="81" t="str">
        <f>VLOOKUP(A16,'MLCC 所有品牌資訊匯總'!$C:$N,8,0)</f>
        <v>X7R</v>
      </c>
      <c r="G16" s="81" t="str">
        <f>VLOOKUP(A16,'MLCC 所有品牌資訊匯總'!$C:$N,9,0)</f>
        <v xml:space="preserve">-55 to 125℃  </v>
      </c>
      <c r="H16" s="81">
        <f>VLOOKUP(A16,'MLCC 所有品牌資訊匯總'!$C:$N,10,0)</f>
        <v>225</v>
      </c>
      <c r="I16" s="81" t="str">
        <f>VLOOKUP(A16,'MLCC 所有品牌資訊匯總'!$C:$N,11,0)</f>
        <v>±10 %</v>
      </c>
      <c r="J16" s="81" t="str">
        <f>VLOOKUP(A16,'MLCC 所有品牌資訊匯總'!$C:$N,12,0)</f>
        <v>25V</v>
      </c>
    </row>
    <row r="17" spans="1:10" hidden="1">
      <c r="A17" s="82" t="s">
        <v>820</v>
      </c>
      <c r="B17" s="82"/>
      <c r="C17" s="82"/>
      <c r="D17" s="81" t="str">
        <f>VLOOKUP(A17,'MLCC 所有品牌資訊匯總'!$C:$N,6,0)</f>
        <v>2.0 x 1.25
(0805)</v>
      </c>
      <c r="E17" s="81" t="str">
        <f>VLOOKUP(A17,'MLCC 所有品牌資訊匯總'!$C:$N,7,0)</f>
        <v>1.25mm</v>
      </c>
      <c r="F17" s="81" t="str">
        <f>VLOOKUP(A17,'MLCC 所有品牌資訊匯總'!$C:$N,8,0)</f>
        <v>X5R</v>
      </c>
      <c r="G17" s="81" t="str">
        <f>VLOOKUP(A17,'MLCC 所有品牌資訊匯總'!$C:$N,9,0)</f>
        <v>-55 to 85℃</v>
      </c>
      <c r="H17" s="81">
        <f>VLOOKUP(A17,'MLCC 所有品牌資訊匯總'!$C:$N,10,0)</f>
        <v>475</v>
      </c>
      <c r="I17" s="81" t="str">
        <f>VLOOKUP(A17,'MLCC 所有品牌資訊匯總'!$C:$N,11,0)</f>
        <v>±10 %</v>
      </c>
      <c r="J17" s="81" t="str">
        <f>VLOOKUP(A17,'MLCC 所有品牌資訊匯總'!$C:$N,12,0)</f>
        <v>50V</v>
      </c>
    </row>
    <row r="18" spans="1:10" hidden="1">
      <c r="A18" s="82" t="s">
        <v>821</v>
      </c>
      <c r="B18" s="82" t="s">
        <v>822</v>
      </c>
      <c r="C18" s="82"/>
      <c r="D18" s="81" t="str">
        <f>VLOOKUP(A18,'MLCC 所有品牌資訊匯總'!$C:$N,6,0)</f>
        <v>2.0 x 1.25
(0805)</v>
      </c>
      <c r="E18" s="81" t="str">
        <f>VLOOKUP(A18,'MLCC 所有品牌資訊匯總'!$C:$N,7,0)</f>
        <v>1.25mm</v>
      </c>
      <c r="F18" s="81" t="str">
        <f>VLOOKUP(A18,'MLCC 所有品牌資訊匯總'!$C:$N,8,0)</f>
        <v>X5R</v>
      </c>
      <c r="G18" s="81" t="str">
        <f>VLOOKUP(A18,'MLCC 所有品牌資訊匯總'!$C:$N,9,0)</f>
        <v>-55 to 85℃</v>
      </c>
      <c r="H18" s="81">
        <f>VLOOKUP(A18,'MLCC 所有品牌資訊匯總'!$C:$N,10,0)</f>
        <v>476</v>
      </c>
      <c r="I18" s="81" t="str">
        <f>VLOOKUP(A18,'MLCC 所有品牌資訊匯總'!$C:$N,11,0)</f>
        <v>±20 %</v>
      </c>
      <c r="J18" s="81" t="str">
        <f>VLOOKUP(A18,'MLCC 所有品牌資訊匯總'!$C:$N,12,0)</f>
        <v>10V</v>
      </c>
    </row>
    <row r="19" spans="1:10" hidden="1">
      <c r="A19" s="82" t="s">
        <v>591</v>
      </c>
      <c r="B19" s="82"/>
      <c r="C19" s="82"/>
      <c r="D19" s="81" t="str">
        <f>VLOOKUP(A19,'MLCC 所有品牌資訊匯總'!$C:$N,6,0)</f>
        <v>3.2 x 1.6
(1206)</v>
      </c>
      <c r="E19" s="81" t="str">
        <f>VLOOKUP(A19,'MLCC 所有品牌資訊匯總'!$C:$N,7,0)</f>
        <v>1.6mm</v>
      </c>
      <c r="F19" s="81" t="str">
        <f>VLOOKUP(A19,'MLCC 所有品牌資訊匯總'!$C:$N,8,0)</f>
        <v>X7R</v>
      </c>
      <c r="G19" s="81" t="str">
        <f>VLOOKUP(A19,'MLCC 所有品牌資訊匯總'!$C:$N,9,0)</f>
        <v xml:space="preserve">-55 to 125℃  </v>
      </c>
      <c r="H19" s="81">
        <f>VLOOKUP(A19,'MLCC 所有品牌資訊匯總'!$C:$N,10,0)</f>
        <v>106</v>
      </c>
      <c r="I19" s="81" t="str">
        <f>VLOOKUP(A19,'MLCC 所有品牌資訊匯總'!$C:$N,11,0)</f>
        <v>±10 %</v>
      </c>
      <c r="J19" s="81" t="str">
        <f>VLOOKUP(A19,'MLCC 所有品牌資訊匯總'!$C:$N,12,0)</f>
        <v>25V</v>
      </c>
    </row>
    <row r="20" spans="1:10" hidden="1">
      <c r="A20" s="82" t="s">
        <v>823</v>
      </c>
      <c r="B20" s="82"/>
      <c r="C20" s="82"/>
      <c r="D20" s="81" t="str">
        <f>VLOOKUP(A20,'MLCC 所有品牌資訊匯總'!$C:$N,6,0)</f>
        <v>3.2 x 1.6
(1206)</v>
      </c>
      <c r="E20" s="81" t="str">
        <f>VLOOKUP(A20,'MLCC 所有品牌資訊匯總'!$C:$N,7,0)</f>
        <v>1.6mm</v>
      </c>
      <c r="F20" s="81" t="str">
        <f>VLOOKUP(A20,'MLCC 所有品牌資訊匯總'!$C:$N,8,0)</f>
        <v>X7R</v>
      </c>
      <c r="G20" s="81" t="str">
        <f>VLOOKUP(A20,'MLCC 所有品牌資訊匯總'!$C:$N,9,0)</f>
        <v xml:space="preserve">-55 to 125℃  </v>
      </c>
      <c r="H20" s="81">
        <f>VLOOKUP(A20,'MLCC 所有品牌資訊匯總'!$C:$N,10,0)</f>
        <v>475</v>
      </c>
      <c r="I20" s="81" t="str">
        <f>VLOOKUP(A20,'MLCC 所有品牌資訊匯總'!$C:$N,11,0)</f>
        <v>±10 %</v>
      </c>
      <c r="J20" s="81" t="str">
        <f>VLOOKUP(A20,'MLCC 所有品牌資訊匯總'!$C:$N,12,0)</f>
        <v>50V</v>
      </c>
    </row>
    <row r="21" spans="1:10" hidden="1">
      <c r="A21" s="82" t="s">
        <v>824</v>
      </c>
      <c r="B21" s="82"/>
      <c r="C21" s="82"/>
      <c r="D21" s="81" t="str">
        <f>VLOOKUP(A21,'MLCC 所有品牌資訊匯總'!$C:$N,6,0)</f>
        <v>3.2 x 1.6
(1206)</v>
      </c>
      <c r="E21" s="81" t="str">
        <f>VLOOKUP(A21,'MLCC 所有品牌資訊匯總'!$C:$N,7,0)</f>
        <v>1.6mm</v>
      </c>
      <c r="F21" s="81" t="str">
        <f>VLOOKUP(A21,'MLCC 所有品牌資訊匯總'!$C:$N,8,0)</f>
        <v>X7R</v>
      </c>
      <c r="G21" s="81" t="str">
        <f>VLOOKUP(A21,'MLCC 所有品牌資訊匯總'!$C:$N,9,0)</f>
        <v xml:space="preserve">-55 to 125℃  </v>
      </c>
      <c r="H21" s="81">
        <f>VLOOKUP(A21,'MLCC 所有品牌資訊匯總'!$C:$N,10,0)</f>
        <v>226</v>
      </c>
      <c r="I21" s="81" t="str">
        <f>VLOOKUP(A21,'MLCC 所有品牌資訊匯總'!$C:$N,11,0)</f>
        <v>±10 %</v>
      </c>
      <c r="J21" s="81" t="str">
        <f>VLOOKUP(A21,'MLCC 所有品牌資訊匯總'!$C:$N,12,0)</f>
        <v>10V</v>
      </c>
    </row>
    <row r="22" spans="1:10" hidden="1">
      <c r="A22" s="82" t="s">
        <v>825</v>
      </c>
      <c r="B22" s="82"/>
      <c r="C22" s="82"/>
      <c r="D22" s="81" t="str">
        <f>VLOOKUP(A22,'MLCC 所有品牌資訊匯總'!$C:$N,6,0)</f>
        <v>3.2 x 2.5
(1210)</v>
      </c>
      <c r="E22" s="81" t="str">
        <f>VLOOKUP(A22,'MLCC 所有品牌資訊匯總'!$C:$N,7,0)</f>
        <v>2.0mm</v>
      </c>
      <c r="F22" s="81" t="str">
        <f>VLOOKUP(A22,'MLCC 所有品牌資訊匯總'!$C:$N,8,0)</f>
        <v>X7R</v>
      </c>
      <c r="G22" s="81" t="str">
        <f>VLOOKUP(A22,'MLCC 所有品牌資訊匯總'!$C:$N,9,0)</f>
        <v xml:space="preserve">-55 to 125℃  </v>
      </c>
      <c r="H22" s="81">
        <f>VLOOKUP(A22,'MLCC 所有品牌資訊匯總'!$C:$N,10,0)</f>
        <v>106</v>
      </c>
      <c r="I22" s="81" t="str">
        <f>VLOOKUP(A22,'MLCC 所有品牌資訊匯總'!$C:$N,11,0)</f>
        <v>±10 %</v>
      </c>
      <c r="J22" s="81" t="str">
        <f>VLOOKUP(A22,'MLCC 所有品牌資訊匯總'!$C:$N,12,0)</f>
        <v>25V</v>
      </c>
    </row>
    <row r="23" spans="1:10" hidden="1">
      <c r="A23" s="82" t="s">
        <v>826</v>
      </c>
      <c r="B23" s="82"/>
      <c r="C23" s="82"/>
      <c r="D23" s="81" t="str">
        <f>VLOOKUP(A23,'MLCC 所有品牌資訊匯總'!$C:$N,6,0)</f>
        <v>3.2 x 2.5
(1210)</v>
      </c>
      <c r="E23" s="81" t="str">
        <f>VLOOKUP(A23,'MLCC 所有品牌資訊匯總'!$C:$N,7,0)</f>
        <v>2.5mm</v>
      </c>
      <c r="F23" s="81" t="str">
        <f>VLOOKUP(A23,'MLCC 所有品牌資訊匯總'!$C:$N,8,0)</f>
        <v>X5R</v>
      </c>
      <c r="G23" s="81" t="str">
        <f>VLOOKUP(A23,'MLCC 所有品牌資訊匯總'!$C:$N,9,0)</f>
        <v>-55 to 85℃</v>
      </c>
      <c r="H23" s="81">
        <f>VLOOKUP(A23,'MLCC 所有品牌資訊匯總'!$C:$N,10,0)</f>
        <v>476</v>
      </c>
      <c r="I23" s="81" t="str">
        <f>VLOOKUP(A23,'MLCC 所有品牌資訊匯總'!$C:$N,11,0)</f>
        <v>±10 %</v>
      </c>
      <c r="J23" s="81" t="str">
        <f>VLOOKUP(A23,'MLCC 所有品牌資訊匯總'!$C:$N,12,0)</f>
        <v>16V</v>
      </c>
    </row>
  </sheetData>
  <autoFilter ref="A1:J23" xr:uid="{0E455662-2ABA-4829-B45A-0B7856AD2BAA}">
    <filterColumn colId="0">
      <filters>
        <filter val="GRM155R60J106ME05D"/>
      </filters>
    </filterColumn>
  </autoFilter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AB00-5151-4C45-9E5F-05B8A91A38DA}">
  <sheetPr codeName="工作表5"/>
  <dimension ref="A1:D8"/>
  <sheetViews>
    <sheetView workbookViewId="0">
      <selection activeCell="B7" sqref="B7"/>
    </sheetView>
  </sheetViews>
  <sheetFormatPr defaultRowHeight="17"/>
  <cols>
    <col min="1" max="1" width="3.54296875" bestFit="1" customWidth="1"/>
    <col min="2" max="2" width="21.54296875" bestFit="1" customWidth="1"/>
  </cols>
  <sheetData>
    <row r="1" spans="1:4">
      <c r="A1" s="4"/>
      <c r="B1" s="4" t="s">
        <v>559</v>
      </c>
    </row>
    <row r="2" spans="1:4">
      <c r="A2" s="5"/>
      <c r="B2" s="5" t="s">
        <v>138</v>
      </c>
    </row>
    <row r="3" spans="1:4">
      <c r="A3" s="5">
        <v>15</v>
      </c>
      <c r="B3" s="5" t="s">
        <v>5</v>
      </c>
    </row>
    <row r="4" spans="1:4">
      <c r="A4" s="5">
        <v>18</v>
      </c>
      <c r="B4" s="5" t="s">
        <v>10</v>
      </c>
    </row>
    <row r="5" spans="1:4">
      <c r="A5" s="5">
        <v>21</v>
      </c>
      <c r="B5" s="5" t="s">
        <v>13</v>
      </c>
    </row>
    <row r="6" spans="1:4">
      <c r="A6" s="5">
        <v>31</v>
      </c>
      <c r="B6" s="5" t="s">
        <v>53</v>
      </c>
      <c r="D6" s="73" t="s">
        <v>143</v>
      </c>
    </row>
    <row r="7" spans="1:4">
      <c r="A7" s="5">
        <v>32</v>
      </c>
      <c r="B7" s="5" t="s">
        <v>54</v>
      </c>
    </row>
    <row r="8" spans="1:4">
      <c r="A8" s="5"/>
      <c r="B8" s="5" t="s">
        <v>29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027C7-B591-40C9-B979-9C2814CF7139}">
  <sheetPr codeName="工作表7"/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4E3F-2462-4DC6-A883-C6477A52B3AF}">
  <sheetPr codeName="工作表6"/>
  <dimension ref="A1:C17"/>
  <sheetViews>
    <sheetView workbookViewId="0">
      <selection activeCell="B8" sqref="B8"/>
    </sheetView>
  </sheetViews>
  <sheetFormatPr defaultRowHeight="17"/>
  <cols>
    <col min="1" max="1" width="29.1796875" bestFit="1" customWidth="1"/>
    <col min="2" max="2" width="21.54296875" bestFit="1" customWidth="1"/>
    <col min="3" max="3" width="26" bestFit="1" customWidth="1"/>
  </cols>
  <sheetData>
    <row r="1" spans="1:3">
      <c r="A1" s="4" t="s">
        <v>69</v>
      </c>
      <c r="B1" s="4" t="s">
        <v>3</v>
      </c>
      <c r="C1" s="4" t="s">
        <v>384</v>
      </c>
    </row>
    <row r="2" spans="1:3">
      <c r="A2" s="22" t="s">
        <v>385</v>
      </c>
      <c r="B2" s="8" t="s">
        <v>73</v>
      </c>
      <c r="C2" s="8" t="s">
        <v>386</v>
      </c>
    </row>
    <row r="3" spans="1:3">
      <c r="A3" s="22" t="s">
        <v>43</v>
      </c>
      <c r="B3" s="8" t="s">
        <v>78</v>
      </c>
      <c r="C3" s="8" t="s">
        <v>387</v>
      </c>
    </row>
    <row r="4" spans="1:3">
      <c r="A4" s="22" t="s">
        <v>75</v>
      </c>
      <c r="B4" s="8" t="s">
        <v>359</v>
      </c>
      <c r="C4" s="8" t="s">
        <v>388</v>
      </c>
    </row>
    <row r="5" spans="1:3">
      <c r="A5" s="22" t="s">
        <v>389</v>
      </c>
      <c r="B5" s="8" t="s">
        <v>390</v>
      </c>
      <c r="C5" s="8" t="s">
        <v>386</v>
      </c>
    </row>
    <row r="6" spans="1:3">
      <c r="A6" s="22" t="s">
        <v>41</v>
      </c>
      <c r="B6" s="8" t="s">
        <v>390</v>
      </c>
      <c r="C6" s="8" t="s">
        <v>391</v>
      </c>
    </row>
    <row r="7" spans="1:3">
      <c r="A7" s="22" t="s">
        <v>98</v>
      </c>
      <c r="B7" s="8" t="s">
        <v>390</v>
      </c>
      <c r="C7" s="8" t="s">
        <v>392</v>
      </c>
    </row>
    <row r="8" spans="1:3">
      <c r="A8" s="22" t="s">
        <v>40</v>
      </c>
      <c r="B8" s="8" t="s">
        <v>390</v>
      </c>
      <c r="C8" s="8" t="s">
        <v>387</v>
      </c>
    </row>
    <row r="9" spans="1:3">
      <c r="A9" s="22" t="s">
        <v>376</v>
      </c>
      <c r="B9" s="8" t="s">
        <v>390</v>
      </c>
      <c r="C9" s="8" t="s">
        <v>393</v>
      </c>
    </row>
    <row r="10" spans="1:3">
      <c r="A10" s="22" t="s">
        <v>412</v>
      </c>
      <c r="B10" s="8" t="s">
        <v>383</v>
      </c>
      <c r="C10" s="8" t="s">
        <v>413</v>
      </c>
    </row>
    <row r="11" spans="1:3">
      <c r="A11" s="22"/>
      <c r="B11" s="8"/>
      <c r="C11" s="8"/>
    </row>
    <row r="12" spans="1:3">
      <c r="A12" s="22"/>
      <c r="B12" s="8"/>
      <c r="C12" s="8"/>
    </row>
    <row r="13" spans="1:3">
      <c r="A13" s="22"/>
      <c r="B13" s="8"/>
      <c r="C13" s="8"/>
    </row>
    <row r="14" spans="1:3">
      <c r="A14" s="22"/>
      <c r="B14" s="8"/>
      <c r="C14" s="8"/>
    </row>
    <row r="15" spans="1:3">
      <c r="A15" s="22"/>
      <c r="B15" s="8"/>
      <c r="C15" s="8"/>
    </row>
    <row r="16" spans="1:3">
      <c r="A16" s="22"/>
      <c r="B16" s="8"/>
      <c r="C16" s="8"/>
    </row>
    <row r="17" spans="1:3">
      <c r="A17" s="22"/>
      <c r="B17" s="8"/>
      <c r="C17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工作表2</vt:lpstr>
      <vt:lpstr>3~5月推廣重點物料(電原)</vt:lpstr>
      <vt:lpstr>3~5月推廣重點物料(消費類)</vt:lpstr>
      <vt:lpstr>MLCC 所有品牌資訊匯總</vt:lpstr>
      <vt:lpstr>7月可擴賣物料規格</vt:lpstr>
      <vt:lpstr>尺寸</vt:lpstr>
      <vt:lpstr>工作表1</vt:lpstr>
      <vt:lpstr>材質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Wu</dc:creator>
  <cp:lastModifiedBy>志祥 吳</cp:lastModifiedBy>
  <dcterms:created xsi:type="dcterms:W3CDTF">2018-11-07T12:52:15Z</dcterms:created>
  <dcterms:modified xsi:type="dcterms:W3CDTF">2025-05-26T03:54:06Z</dcterms:modified>
</cp:coreProperties>
</file>